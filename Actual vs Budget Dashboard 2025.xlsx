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nis\Downloads\"/>
    </mc:Choice>
  </mc:AlternateContent>
  <xr:revisionPtr revIDLastSave="0" documentId="13_ncr:1_{87FC84EF-5DB3-4080-AE6A-CF26379A091B}" xr6:coauthVersionLast="47" xr6:coauthVersionMax="47" xr10:uidLastSave="{00000000-0000-0000-0000-000000000000}"/>
  <bookViews>
    <workbookView xWindow="-120" yWindow="-120" windowWidth="29040" windowHeight="15720" xr2:uid="{00000000-000D-0000-FFFF-FFFF00000000}"/>
  </bookViews>
  <sheets>
    <sheet name="Dashboard with slicers" sheetId="4" r:id="rId1"/>
    <sheet name="Dashboard" sheetId="2" r:id="rId2"/>
    <sheet name="Pivot Tables" sheetId="3" r:id="rId3"/>
    <sheet name="Clean Ledger Data" sheetId="1" r:id="rId4"/>
  </sheets>
  <definedNames>
    <definedName name="expense">'Pivot Tables'!$C$20</definedName>
    <definedName name="month">Dashboard!$C$5</definedName>
    <definedName name="revenue">'Pivot Tables'!$C$21</definedName>
    <definedName name="Slicer_Financial_Type">#N/A</definedName>
    <definedName name="Slicer_Month">#N/A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2" l="1"/>
  <c r="D11" i="2"/>
  <c r="B3" i="1"/>
  <c r="B4" i="1"/>
  <c r="B5" i="1"/>
  <c r="B6" i="1"/>
  <c r="B7" i="1"/>
  <c r="B8" i="1"/>
  <c r="B9" i="1"/>
  <c r="B10" i="1"/>
  <c r="B11" i="1"/>
  <c r="D18" i="2" s="1"/>
  <c r="B12" i="1"/>
  <c r="B13" i="1"/>
  <c r="D19" i="2" s="1"/>
  <c r="B14" i="1"/>
  <c r="C9" i="2" s="1"/>
  <c r="B15" i="1"/>
  <c r="D9" i="2" s="1"/>
  <c r="B16" i="1"/>
  <c r="B17" i="1"/>
  <c r="B18" i="1"/>
  <c r="D10" i="2" s="1"/>
  <c r="B19" i="1"/>
  <c r="D16" i="2" s="1"/>
  <c r="B20" i="1"/>
  <c r="B21" i="1"/>
  <c r="B22" i="1"/>
  <c r="B23" i="1"/>
  <c r="B24" i="1"/>
  <c r="B25" i="1"/>
  <c r="B26" i="1"/>
  <c r="B27" i="1"/>
  <c r="B28" i="1"/>
  <c r="B29" i="1"/>
  <c r="B30" i="1"/>
  <c r="B31" i="1"/>
  <c r="B32" i="1"/>
  <c r="B33" i="1"/>
  <c r="B34" i="1"/>
  <c r="B35" i="1"/>
  <c r="B36" i="1"/>
  <c r="B37" i="1"/>
  <c r="B38" i="1"/>
  <c r="B39" i="1"/>
  <c r="B40" i="1"/>
  <c r="B41" i="1"/>
  <c r="B42" i="1"/>
  <c r="D17" i="2" s="1"/>
  <c r="B43" i="1"/>
  <c r="B44" i="1"/>
  <c r="B45" i="1"/>
  <c r="B46" i="1"/>
  <c r="B47" i="1"/>
  <c r="B48" i="1"/>
  <c r="B49" i="1"/>
  <c r="B50" i="1"/>
  <c r="B51" i="1"/>
  <c r="B52" i="1"/>
  <c r="B53" i="1"/>
  <c r="B54" i="1"/>
  <c r="B55" i="1"/>
  <c r="B56" i="1"/>
  <c r="B57" i="1"/>
  <c r="B58" i="1"/>
  <c r="D15" i="2" s="1"/>
  <c r="B59" i="1"/>
  <c r="C18" i="2" s="1"/>
  <c r="B60" i="1"/>
  <c r="B61" i="1"/>
  <c r="D14" i="2" s="1"/>
  <c r="B62" i="1"/>
  <c r="B63" i="1"/>
  <c r="B64" i="1"/>
  <c r="B65" i="1"/>
  <c r="B66" i="1"/>
  <c r="B67" i="1"/>
  <c r="B68" i="1"/>
  <c r="B69" i="1"/>
  <c r="B70" i="1"/>
  <c r="B71" i="1"/>
  <c r="B72" i="1"/>
  <c r="B73" i="1"/>
  <c r="B74" i="1"/>
  <c r="B75" i="1"/>
  <c r="B76" i="1"/>
  <c r="B77" i="1"/>
  <c r="B78" i="1"/>
  <c r="B79" i="1"/>
  <c r="B80" i="1"/>
  <c r="C19" i="2" s="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 i="1"/>
  <c r="L2" i="1" a="1"/>
  <c r="L2" i="1" s="1"/>
  <c r="C15" i="2"/>
  <c r="C17" i="2" l="1"/>
  <c r="F17" i="2" s="1"/>
  <c r="C14" i="2"/>
  <c r="F14" i="2" s="1"/>
  <c r="C10" i="2"/>
  <c r="F10" i="2" s="1"/>
  <c r="C16" i="2"/>
  <c r="G16" i="2" s="1"/>
  <c r="G15" i="2"/>
  <c r="G18" i="2"/>
  <c r="G11" i="2"/>
  <c r="G19" i="2"/>
  <c r="F9" i="2"/>
  <c r="G9" i="2"/>
  <c r="F11" i="2"/>
  <c r="F15" i="2"/>
  <c r="F18" i="2"/>
  <c r="F19" i="2"/>
  <c r="D20" i="2"/>
  <c r="D22" i="2" s="1"/>
  <c r="G17" i="2" l="1"/>
  <c r="G10" i="2"/>
  <c r="F16" i="2"/>
  <c r="G14" i="2"/>
  <c r="C20" i="2"/>
  <c r="C22" i="2" s="1"/>
  <c r="G20" i="2" l="1"/>
  <c r="F20" i="2"/>
  <c r="G22" i="2"/>
  <c r="F2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<sst xmlns="http://schemas.openxmlformats.org/spreadsheetml/2006/main" count="1510" uniqueCount="330">
  <si>
    <t>Date</t>
  </si>
  <si>
    <t>Month</t>
  </si>
  <si>
    <t>Department</t>
  </si>
  <si>
    <t>Category</t>
  </si>
  <si>
    <t>Region</t>
  </si>
  <si>
    <t>Budget Amount</t>
  </si>
  <si>
    <t>Actual Amount</t>
  </si>
  <si>
    <t>Payment Method</t>
  </si>
  <si>
    <t>Transaction ID</t>
  </si>
  <si>
    <t>Financial Type</t>
  </si>
  <si>
    <t>Operations</t>
  </si>
  <si>
    <t>Product Revenue</t>
  </si>
  <si>
    <t>Central</t>
  </si>
  <si>
    <t>Cash</t>
  </si>
  <si>
    <t>TXN100144</t>
  </si>
  <si>
    <t>Income</t>
  </si>
  <si>
    <t>Finance</t>
  </si>
  <si>
    <t>Travel</t>
  </si>
  <si>
    <t>Bank Transfer</t>
  </si>
  <si>
    <t>TXN100113</t>
  </si>
  <si>
    <t>Expense</t>
  </si>
  <si>
    <t>Marketing</t>
  </si>
  <si>
    <t>Infrastructure</t>
  </si>
  <si>
    <t>West</t>
  </si>
  <si>
    <t>UPI</t>
  </si>
  <si>
    <t>TXN100037</t>
  </si>
  <si>
    <t>TXN100082</t>
  </si>
  <si>
    <t>2025-01-15 00:00:00</t>
  </si>
  <si>
    <t>Salaries</t>
  </si>
  <si>
    <t>South</t>
  </si>
  <si>
    <t>TXN100070</t>
  </si>
  <si>
    <t>Utilities</t>
  </si>
  <si>
    <t>North</t>
  </si>
  <si>
    <t>TXN100073</t>
  </si>
  <si>
    <t>Marketing Spend</t>
  </si>
  <si>
    <t>Card</t>
  </si>
  <si>
    <t>TXN100017</t>
  </si>
  <si>
    <t>East</t>
  </si>
  <si>
    <t>TXN100119</t>
  </si>
  <si>
    <t>2025-01-20 00:00:00</t>
  </si>
  <si>
    <t>IT</t>
  </si>
  <si>
    <t>TXN100148</t>
  </si>
  <si>
    <t>TXN100031</t>
  </si>
  <si>
    <t>TXN100011</t>
  </si>
  <si>
    <t>TXN100015</t>
  </si>
  <si>
    <t>TXN100034</t>
  </si>
  <si>
    <t>HR</t>
  </si>
  <si>
    <t>TXN100079</t>
  </si>
  <si>
    <t>Sales</t>
  </si>
  <si>
    <t>TXN100108</t>
  </si>
  <si>
    <t>February</t>
  </si>
  <si>
    <t>TXN100105</t>
  </si>
  <si>
    <t>TXN100068</t>
  </si>
  <si>
    <t>TXN100046</t>
  </si>
  <si>
    <t>TXN100104</t>
  </si>
  <si>
    <t>TXN100052</t>
  </si>
  <si>
    <t>TXN100008</t>
  </si>
  <si>
    <t>2025-02-10 00:00:00</t>
  </si>
  <si>
    <t>TXN100085</t>
  </si>
  <si>
    <t>TXN100094</t>
  </si>
  <si>
    <t>2025-02-15 00:00:00</t>
  </si>
  <si>
    <t>TXN100045</t>
  </si>
  <si>
    <t>TXN100039</t>
  </si>
  <si>
    <t>Training</t>
  </si>
  <si>
    <t>TXN100089</t>
  </si>
  <si>
    <t>TXN100080</t>
  </si>
  <si>
    <t>TXN100066</t>
  </si>
  <si>
    <t>TXN100107</t>
  </si>
  <si>
    <t>TXN100074</t>
  </si>
  <si>
    <t>TXN100128</t>
  </si>
  <si>
    <t>TXN100095</t>
  </si>
  <si>
    <t>TXN100010</t>
  </si>
  <si>
    <t>TXN100139</t>
  </si>
  <si>
    <t>TXN100058</t>
  </si>
  <si>
    <t>TXN100005</t>
  </si>
  <si>
    <t>TXN100059</t>
  </si>
  <si>
    <t>TXN100042</t>
  </si>
  <si>
    <t>TXN100014</t>
  </si>
  <si>
    <t>TXN100116</t>
  </si>
  <si>
    <t>TXN100096</t>
  </si>
  <si>
    <t>2025-04-12 00:00:00</t>
  </si>
  <si>
    <t>TXN100003</t>
  </si>
  <si>
    <t>TXN100029</t>
  </si>
  <si>
    <t>2025-04-20 00:00:00</t>
  </si>
  <si>
    <t>TXN100019</t>
  </si>
  <si>
    <t>TXN100032</t>
  </si>
  <si>
    <t>TXN100143</t>
  </si>
  <si>
    <t>TXN100117</t>
  </si>
  <si>
    <t>TXN100002</t>
  </si>
  <si>
    <t>TXN100147</t>
  </si>
  <si>
    <t>TXN100018</t>
  </si>
  <si>
    <t>TXN100071</t>
  </si>
  <si>
    <t>TXN100007</t>
  </si>
  <si>
    <t>TXN100112</t>
  </si>
  <si>
    <t>2025-05-15 00:00:00</t>
  </si>
  <si>
    <t>TXN100087</t>
  </si>
  <si>
    <t>TXN100093</t>
  </si>
  <si>
    <t>TXN100103</t>
  </si>
  <si>
    <t>TXN100106</t>
  </si>
  <si>
    <t>TXN100006</t>
  </si>
  <si>
    <t>TXN100044</t>
  </si>
  <si>
    <t>TXN100021</t>
  </si>
  <si>
    <t>TXN100064</t>
  </si>
  <si>
    <t>TXN100075</t>
  </si>
  <si>
    <t>TXN100122</t>
  </si>
  <si>
    <t>TXN100054</t>
  </si>
  <si>
    <t>TXN100111</t>
  </si>
  <si>
    <t>TXN100033</t>
  </si>
  <si>
    <t>TXN100041</t>
  </si>
  <si>
    <t>2025-06-25 00:00:00</t>
  </si>
  <si>
    <t>TXN100120</t>
  </si>
  <si>
    <t>TXN100069</t>
  </si>
  <si>
    <t>TXN100130</t>
  </si>
  <si>
    <t>TXN100024</t>
  </si>
  <si>
    <t>TXN100125</t>
  </si>
  <si>
    <t>TXN100028</t>
  </si>
  <si>
    <t>TXN100140</t>
  </si>
  <si>
    <t>TXN100114</t>
  </si>
  <si>
    <t>TXN100040</t>
  </si>
  <si>
    <t>TXN100090</t>
  </si>
  <si>
    <t>2025-07-20 00:00:00</t>
  </si>
  <si>
    <t>TXN100088</t>
  </si>
  <si>
    <t>TXN100050</t>
  </si>
  <si>
    <t>TXN100055</t>
  </si>
  <si>
    <t>2025-07-25 00:00:00</t>
  </si>
  <si>
    <t>TXN100047</t>
  </si>
  <si>
    <t>TXN100109</t>
  </si>
  <si>
    <t>TXN100123</t>
  </si>
  <si>
    <t>TXN100067</t>
  </si>
  <si>
    <t>TXN100146</t>
  </si>
  <si>
    <t>2025-08-10 00:00:00</t>
  </si>
  <si>
    <t>TXN100141</t>
  </si>
  <si>
    <t>TXN100012</t>
  </si>
  <si>
    <t>TXN100043</t>
  </si>
  <si>
    <t>TXN100025</t>
  </si>
  <si>
    <t>TXN100078</t>
  </si>
  <si>
    <t>TXN100027</t>
  </si>
  <si>
    <t>TXN100118</t>
  </si>
  <si>
    <t>TXN100083</t>
  </si>
  <si>
    <t>TXN100099</t>
  </si>
  <si>
    <t>TXN100035</t>
  </si>
  <si>
    <t>TXN100038</t>
  </si>
  <si>
    <t>TXN100133</t>
  </si>
  <si>
    <t>TXN100023</t>
  </si>
  <si>
    <t>TXN100100</t>
  </si>
  <si>
    <t>2025-09-10 00:00:00</t>
  </si>
  <si>
    <t>TXN100016</t>
  </si>
  <si>
    <t>2025-09-20 00:00:00</t>
  </si>
  <si>
    <t>TXN100132</t>
  </si>
  <si>
    <t>TXN100056</t>
  </si>
  <si>
    <t>2025-09-25 00:00:00</t>
  </si>
  <si>
    <t>TXN100131</t>
  </si>
  <si>
    <t>TXN100057</t>
  </si>
  <si>
    <t>TXN100013</t>
  </si>
  <si>
    <t>TXN100145</t>
  </si>
  <si>
    <t>TXN100101</t>
  </si>
  <si>
    <t>TXN100127</t>
  </si>
  <si>
    <t>TXN100030</t>
  </si>
  <si>
    <t>2025-10-10 00:00:00</t>
  </si>
  <si>
    <t>TXN100126</t>
  </si>
  <si>
    <t>TXN100076</t>
  </si>
  <si>
    <t>TXN100135</t>
  </si>
  <si>
    <t>TXN100060</t>
  </si>
  <si>
    <t>2025-10-15 00:00:00</t>
  </si>
  <si>
    <t>TXN100084</t>
  </si>
  <si>
    <t>TXN100081</t>
  </si>
  <si>
    <t>TXN100115</t>
  </si>
  <si>
    <t>TXN100049</t>
  </si>
  <si>
    <t>TXN100048</t>
  </si>
  <si>
    <t>TXN100061</t>
  </si>
  <si>
    <t>TXN100138</t>
  </si>
  <si>
    <t>TXN100102</t>
  </si>
  <si>
    <t>TXN100110</t>
  </si>
  <si>
    <t>TXN100001</t>
  </si>
  <si>
    <t>2025-11-12 00:00:00</t>
  </si>
  <si>
    <t>TXN100036</t>
  </si>
  <si>
    <t>TXN100124</t>
  </si>
  <si>
    <t>TXN100136</t>
  </si>
  <si>
    <t>2025-11-15 00:00:00</t>
  </si>
  <si>
    <t>TXN100137</t>
  </si>
  <si>
    <t>TXN100097</t>
  </si>
  <si>
    <t>TXN100129</t>
  </si>
  <si>
    <t>TXN100026</t>
  </si>
  <si>
    <t>TXN100086</t>
  </si>
  <si>
    <t>TXN100091</t>
  </si>
  <si>
    <t>TXN100121</t>
  </si>
  <si>
    <t>TXN100004</t>
  </si>
  <si>
    <t>TXN100142</t>
  </si>
  <si>
    <t>TXN100072</t>
  </si>
  <si>
    <t>TXN100022</t>
  </si>
  <si>
    <t>TXN100063</t>
  </si>
  <si>
    <t>TXN100051</t>
  </si>
  <si>
    <t>TXN100092</t>
  </si>
  <si>
    <t>2025-12-10 00:00:00</t>
  </si>
  <si>
    <t>TXN100009</t>
  </si>
  <si>
    <t>TXN100134</t>
  </si>
  <si>
    <t>TXN100149</t>
  </si>
  <si>
    <t>TXN100065</t>
  </si>
  <si>
    <t>TXN100020</t>
  </si>
  <si>
    <t>TXN100062</t>
  </si>
  <si>
    <t>TXN100077</t>
  </si>
  <si>
    <t>TXN100098</t>
  </si>
  <si>
    <t>TXN100053</t>
  </si>
  <si>
    <t>TXN100150</t>
  </si>
  <si>
    <t>Current Month -&gt;</t>
  </si>
  <si>
    <t>Budget vs. Actual Dashboard</t>
  </si>
  <si>
    <t>category</t>
  </si>
  <si>
    <t>financial type</t>
  </si>
  <si>
    <t>Figures in USD</t>
  </si>
  <si>
    <t xml:space="preserve">Budget </t>
  </si>
  <si>
    <t>Actual</t>
  </si>
  <si>
    <t>Income:</t>
  </si>
  <si>
    <t>Expenses:</t>
  </si>
  <si>
    <t>Total Expenses</t>
  </si>
  <si>
    <t>Var. Abs.</t>
  </si>
  <si>
    <t>Var. %</t>
  </si>
  <si>
    <t>Income: Budget vs Actuals Income</t>
  </si>
  <si>
    <t>Expenses: Actuals Income</t>
  </si>
  <si>
    <t>2025-01-25 00:00:00</t>
  </si>
  <si>
    <t>2025-01-10 00:00:00</t>
  </si>
  <si>
    <t>2025-01-12 00:00:00</t>
  </si>
  <si>
    <t>Service Revenue</t>
  </si>
  <si>
    <t>2025-02-25 00:00:00</t>
  </si>
  <si>
    <t>2025-02-12 00:00:00</t>
  </si>
  <si>
    <t>2025-02-20 00:00:00</t>
  </si>
  <si>
    <t>2025-03-25 00:00:00</t>
  </si>
  <si>
    <t>2025-03-10 00:00:00</t>
  </si>
  <si>
    <t>2025-03-15 00:00:00</t>
  </si>
  <si>
    <t>2025-03-12 00:00:00</t>
  </si>
  <si>
    <t>2025-03-20 00:00:00</t>
  </si>
  <si>
    <t>2025-04-25 00:00:00</t>
  </si>
  <si>
    <t>2025-04-10 00:00:00</t>
  </si>
  <si>
    <t>2025-04-15 00:00:00</t>
  </si>
  <si>
    <t>2025-05-25 00:00:00</t>
  </si>
  <si>
    <t>2025-05-10 00:00:00</t>
  </si>
  <si>
    <t>2025-05-12 00:00:00</t>
  </si>
  <si>
    <t>2025-05-20 00:00:00</t>
  </si>
  <si>
    <t>2025-06-10 00:00:00</t>
  </si>
  <si>
    <t>2025-06-15 00:00:00</t>
  </si>
  <si>
    <t>2025-06-12 00:00:00</t>
  </si>
  <si>
    <t>2025-06-20 00:00:00</t>
  </si>
  <si>
    <t>2025-07-10 00:00:00</t>
  </si>
  <si>
    <t>2025-07-15 00:00:00</t>
  </si>
  <si>
    <t>2025-07-12 00:00:00</t>
  </si>
  <si>
    <t>2025-08-25 00:00:00</t>
  </si>
  <si>
    <t>2025-08-15 00:00:00</t>
  </si>
  <si>
    <t>2025-08-12 00:00:00</t>
  </si>
  <si>
    <t>2025-08-20 00:00:00</t>
  </si>
  <si>
    <t>2025-09-15 00:00:00</t>
  </si>
  <si>
    <t>2025-09-12 00:00:00</t>
  </si>
  <si>
    <t>2025-10-25 00:00:00</t>
  </si>
  <si>
    <t>TXN100151</t>
  </si>
  <si>
    <t>TXN100152</t>
  </si>
  <si>
    <t>TXN100153</t>
  </si>
  <si>
    <t>TXN100154</t>
  </si>
  <si>
    <t>TXN100155</t>
  </si>
  <si>
    <t>TXN100156</t>
  </si>
  <si>
    <t>TXN100157</t>
  </si>
  <si>
    <t>TXN100158</t>
  </si>
  <si>
    <t>TXN100159</t>
  </si>
  <si>
    <t>2025-10-12 00:00:00</t>
  </si>
  <si>
    <t>TXN100160</t>
  </si>
  <si>
    <t>TXN100161</t>
  </si>
  <si>
    <t>TXN100162</t>
  </si>
  <si>
    <t>TXN100163</t>
  </si>
  <si>
    <t>2025-10-20 00:00:00</t>
  </si>
  <si>
    <t>TXN100164</t>
  </si>
  <si>
    <t>2025-11-25 00:00:00</t>
  </si>
  <si>
    <t>TXN100165</t>
  </si>
  <si>
    <t>TXN100166</t>
  </si>
  <si>
    <t>TXN100167</t>
  </si>
  <si>
    <t>TXN100168</t>
  </si>
  <si>
    <t>TXN100169</t>
  </si>
  <si>
    <t>TXN100170</t>
  </si>
  <si>
    <t>2025-11-10 00:00:00</t>
  </si>
  <si>
    <t>TXN100171</t>
  </si>
  <si>
    <t>TXN100172</t>
  </si>
  <si>
    <t>TXN100173</t>
  </si>
  <si>
    <t>TXN100174</t>
  </si>
  <si>
    <t>TXN100175</t>
  </si>
  <si>
    <t>TXN100176</t>
  </si>
  <si>
    <t>TXN100177</t>
  </si>
  <si>
    <t>TXN100178</t>
  </si>
  <si>
    <t>TXN100179</t>
  </si>
  <si>
    <t>TXN100180</t>
  </si>
  <si>
    <t>2025-11-20 00:00:00</t>
  </si>
  <si>
    <t>TXN100181</t>
  </si>
  <si>
    <t>TXN100182</t>
  </si>
  <si>
    <t>2025-12-25 00:00:00</t>
  </si>
  <si>
    <t>TXN100183</t>
  </si>
  <si>
    <t>TXN100184</t>
  </si>
  <si>
    <t>TXN100185</t>
  </si>
  <si>
    <t>TXN100186</t>
  </si>
  <si>
    <t>TXN100187</t>
  </si>
  <si>
    <t>TXN100188</t>
  </si>
  <si>
    <t>TXN100189</t>
  </si>
  <si>
    <t>TXN100190</t>
  </si>
  <si>
    <t>TXN100191</t>
  </si>
  <si>
    <t>TXN100192</t>
  </si>
  <si>
    <t>TXN100193</t>
  </si>
  <si>
    <t>2025-12-15 00:00:00</t>
  </si>
  <si>
    <t>TXN100194</t>
  </si>
  <si>
    <t>TXN100195</t>
  </si>
  <si>
    <t>2025-12-12 00:00:00</t>
  </si>
  <si>
    <t>TXN100196</t>
  </si>
  <si>
    <t>TXN100197</t>
  </si>
  <si>
    <t>TXN100198</t>
  </si>
  <si>
    <t>TXN100199</t>
  </si>
  <si>
    <t>2025-12-20 00:00:00</t>
  </si>
  <si>
    <t>TXN100200</t>
  </si>
  <si>
    <t>TXN100201</t>
  </si>
  <si>
    <t>Fiscal Year -&gt;</t>
  </si>
  <si>
    <t>Row Labels</t>
  </si>
  <si>
    <t>Grand Total</t>
  </si>
  <si>
    <t>Column Labels</t>
  </si>
  <si>
    <t>Savings</t>
  </si>
  <si>
    <t>Total Revenue</t>
  </si>
  <si>
    <t>Sum of Actual Amount</t>
  </si>
  <si>
    <t>January</t>
  </si>
  <si>
    <t>March</t>
  </si>
  <si>
    <t>April</t>
  </si>
  <si>
    <t>May</t>
  </si>
  <si>
    <t>August</t>
  </si>
  <si>
    <t>July</t>
  </si>
  <si>
    <t>June</t>
  </si>
  <si>
    <t>September</t>
  </si>
  <si>
    <t>October</t>
  </si>
  <si>
    <t>November</t>
  </si>
  <si>
    <t>December</t>
  </si>
  <si>
    <t>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</si>
</sst>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164" formatCode="0.0%"/>
    <numFmt numFmtId="165" formatCode="\$#,##0"/>
  </numFmts>
  <fonts count="9" x14ac:knownFonts="1">
    <font>
      <sz val="11"/>
      <color theme="1"/>
      <name val="Calibri"/>
      <family val="2"/>
      <scheme val="minor"/>
    </font>
    <font>
      <b/>
      <sz val="11"/>
      <name val="Calibri"/>
      <family val="2"/>
    </font>
    <font>
      <b/>
      <sz val="11"/>
      <color theme="0"/>
      <name val="Calibri"/>
      <family val="2"/>
      <scheme val="minor"/>
    </font>
    <font>
      <b/>
      <sz val="11"/>
      <color theme="1"/>
      <name val="Calibri"/>
      <family val="2"/>
      <scheme val="minor"/>
    </font>
    <font>
      <b/>
      <i/>
      <sz val="11"/>
      <color theme="1"/>
      <name val="Calibri"/>
      <family val="2"/>
      <scheme val="minor"/>
    </font>
    <font>
      <b/>
      <sz val="16"/>
      <color theme="1"/>
      <name val="Calibri"/>
      <family val="2"/>
      <scheme val="minor"/>
    </font>
    <font>
      <i/>
      <sz val="11"/>
      <color theme="0"/>
      <name val="Calibri"/>
      <family val="2"/>
      <scheme val="minor"/>
    </font>
    <font>
      <b/>
      <sz val="11"/>
      <color rgb="FFFFFFFF"/>
      <name val="Calibri"/>
      <family val="2"/>
    </font>
    <font>
      <i/>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3" tint="-0.249977111117893"/>
        <bgColor indexed="64"/>
      </patternFill>
    </fill>
    <fill>
      <patternFill patternType="solid">
        <fgColor rgb="FF1F4E78"/>
        <bgColor rgb="FF1F4E78"/>
      </patternFill>
    </fill>
    <fill>
      <patternFill patternType="solid">
        <fgColor theme="3" tint="-0.499984740745262"/>
        <bgColor indexed="64"/>
      </patternFill>
    </fill>
  </fills>
  <borders count="5">
    <border>
      <left/>
      <right/>
      <top/>
      <bottom/>
      <diagonal/>
    </border>
    <border>
      <left/>
      <right/>
      <top/>
      <bottom style="thin">
        <color indexed="64"/>
      </bottom>
      <diagonal/>
    </border>
    <border>
      <left style="thin">
        <color auto="1"/>
      </left>
      <right/>
      <top/>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29">
    <xf numFmtId="0" fontId="0" fillId="0" borderId="0" xfId="0"/>
    <xf numFmtId="0" fontId="0" fillId="0" borderId="1" xfId="0" applyBorder="1"/>
    <xf numFmtId="0" fontId="5" fillId="0" borderId="1" xfId="0" applyFont="1" applyBorder="1"/>
    <xf numFmtId="0" fontId="1" fillId="0" borderId="2" xfId="0" applyFont="1" applyBorder="1" applyAlignment="1">
      <alignment horizontal="center" vertical="top"/>
    </xf>
    <xf numFmtId="0" fontId="0" fillId="0" borderId="0" xfId="0" applyAlignment="1">
      <alignment horizontal="left" indent="1"/>
    </xf>
    <xf numFmtId="0" fontId="3" fillId="0" borderId="3" xfId="0" applyFont="1" applyBorder="1"/>
    <xf numFmtId="0" fontId="3" fillId="2" borderId="0" xfId="0" applyFont="1" applyFill="1" applyAlignment="1">
      <alignment horizontal="center"/>
    </xf>
    <xf numFmtId="0" fontId="0" fillId="0" borderId="0" xfId="0" applyAlignment="1">
      <alignment horizontal="center"/>
    </xf>
    <xf numFmtId="0" fontId="6" fillId="3" borderId="0" xfId="0" applyFont="1" applyFill="1"/>
    <xf numFmtId="42" fontId="0" fillId="0" borderId="0" xfId="0" applyNumberFormat="1"/>
    <xf numFmtId="0" fontId="4" fillId="0" borderId="0" xfId="0" applyFont="1" applyAlignment="1">
      <alignment horizontal="center"/>
    </xf>
    <xf numFmtId="0" fontId="2" fillId="3" borderId="0" xfId="0" applyFont="1" applyFill="1" applyAlignment="1">
      <alignment horizontal="center"/>
    </xf>
    <xf numFmtId="164" fontId="0" fillId="0" borderId="0" xfId="0" applyNumberFormat="1"/>
    <xf numFmtId="0" fontId="3" fillId="2" borderId="4" xfId="0" applyFont="1" applyFill="1" applyBorder="1"/>
    <xf numFmtId="164" fontId="0" fillId="0" borderId="4" xfId="0" applyNumberFormat="1" applyBorder="1"/>
    <xf numFmtId="41" fontId="0" fillId="0" borderId="0" xfId="0" applyNumberFormat="1"/>
    <xf numFmtId="41" fontId="3" fillId="0" borderId="3" xfId="0" applyNumberFormat="1" applyFont="1" applyBorder="1"/>
    <xf numFmtId="41" fontId="3" fillId="2" borderId="4" xfId="0" applyNumberFormat="1" applyFont="1" applyFill="1" applyBorder="1"/>
    <xf numFmtId="41" fontId="0" fillId="0" borderId="4" xfId="0" applyNumberFormat="1" applyBorder="1"/>
    <xf numFmtId="0" fontId="2" fillId="0" borderId="0" xfId="0" applyFont="1"/>
    <xf numFmtId="0" fontId="7" fillId="4" borderId="0" xfId="0" applyFont="1" applyFill="1" applyAlignment="1">
      <alignment horizontal="center"/>
    </xf>
    <xf numFmtId="165" fontId="0" fillId="0" borderId="0" xfId="0" applyNumberFormat="1"/>
    <xf numFmtId="0" fontId="8" fillId="0" borderId="0" xfId="0" applyFont="1"/>
    <xf numFmtId="1" fontId="3" fillId="0" borderId="0" xfId="0" applyNumberFormat="1" applyFont="1" applyAlignment="1">
      <alignment horizontal="center"/>
    </xf>
    <xf numFmtId="0" fontId="3" fillId="0" borderId="0" xfId="0" applyFont="1" applyAlignment="1">
      <alignment horizontal="center"/>
    </xf>
    <xf numFmtId="0" fontId="0" fillId="0" borderId="0" xfId="0" pivotButton="1"/>
    <xf numFmtId="0" fontId="0" fillId="0" borderId="0" xfId="0" applyAlignment="1">
      <alignment horizontal="left"/>
    </xf>
    <xf numFmtId="0" fontId="0" fillId="5" borderId="0" xfId="0" applyFill="1"/>
    <xf numFmtId="0" fontId="2" fillId="3" borderId="0" xfId="0" applyFont="1" applyFill="1" applyAlignment="1">
      <alignment horizontal="center"/>
    </xf>
  </cellXfs>
  <cellStyles count="1">
    <cellStyle name="Normal" xfId="0" builtinId="0"/>
  </cellStyles>
  <dxfs count="2">
    <dxf>
      <font>
        <color rgb="FF00B050"/>
      </font>
    </dxf>
    <dxf>
      <font>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[Clean_Ledger_Data_2025.xlsx]Pivot Tables!PivotTable12</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c:f>
              <c:strCache>
                <c:ptCount val="1"/>
                <c:pt idx="0">
                  <c:v>Budget</c:v>
                </c:pt>
              </c:strCache>
            </c:strRef>
          </c:tx>
          <c:spPr>
            <a:solidFill>
              <a:schemeClr val="accent1"/>
            </a:solidFill>
            <a:ln>
              <a:noFill/>
            </a:ln>
            <a:effectLst/>
          </c:spPr>
          <c:invertIfNegative val="0"/>
          <c:cat>
            <c:multiLvlStrRef>
              <c:f>'Pivot Tables'!$A$19:$A$21</c:f>
              <c:multiLvlStrCache>
                <c:ptCount val="1"/>
                <c:lvl>
                  <c:pt idx="0">
                    <c:v>Expense</c:v>
                  </c:pt>
                </c:lvl>
                <c:lvl>
                  <c:pt idx="0">
                    <c:v>February</c:v>
                  </c:pt>
                </c:lvl>
              </c:multiLvlStrCache>
            </c:multiLvlStrRef>
          </c:cat>
          <c:val>
            <c:numRef>
              <c:f>'Pivot Tables'!$B$19:$B$21</c:f>
              <c:numCache>
                <c:formatCode>\$#,##0</c:formatCode>
                <c:ptCount val="1"/>
                <c:pt idx="0">
                  <c:v>491690</c:v>
                </c:pt>
              </c:numCache>
            </c:numRef>
          </c:val>
          <c:extLst>
            <c:ext xmlns:c16="http://schemas.microsoft.com/office/drawing/2014/chart" uri="{C3380CC4-5D6E-409C-BE32-E72D297353CC}">
              <c16:uniqueId val="{00000000-2B9D-459C-9E55-D8BB4B36FA6A}"/>
            </c:ext>
          </c:extLst>
        </c:ser>
        <c:ser>
          <c:idx val="1"/>
          <c:order val="1"/>
          <c:tx>
            <c:strRef>
              <c:f>'Pivot Tables'!$C$18</c:f>
              <c:strCache>
                <c:ptCount val="1"/>
                <c:pt idx="0">
                  <c:v>Actual</c:v>
                </c:pt>
              </c:strCache>
            </c:strRef>
          </c:tx>
          <c:spPr>
            <a:solidFill>
              <a:schemeClr val="accent2"/>
            </a:solidFill>
            <a:ln>
              <a:noFill/>
            </a:ln>
            <a:effectLst/>
          </c:spPr>
          <c:invertIfNegative val="0"/>
          <c:cat>
            <c:multiLvlStrRef>
              <c:f>'Pivot Tables'!$A$19:$A$21</c:f>
              <c:multiLvlStrCache>
                <c:ptCount val="1"/>
                <c:lvl>
                  <c:pt idx="0">
                    <c:v>Expense</c:v>
                  </c:pt>
                </c:lvl>
                <c:lvl>
                  <c:pt idx="0">
                    <c:v>February</c:v>
                  </c:pt>
                </c:lvl>
              </c:multiLvlStrCache>
            </c:multiLvlStrRef>
          </c:cat>
          <c:val>
            <c:numRef>
              <c:f>'Pivot Tables'!$C$19:$C$21</c:f>
              <c:numCache>
                <c:formatCode>\$#,##0</c:formatCode>
                <c:ptCount val="1"/>
                <c:pt idx="0">
                  <c:v>499899</c:v>
                </c:pt>
              </c:numCache>
            </c:numRef>
          </c:val>
          <c:extLst>
            <c:ext xmlns:c16="http://schemas.microsoft.com/office/drawing/2014/chart" uri="{C3380CC4-5D6E-409C-BE32-E72D297353CC}">
              <c16:uniqueId val="{00000001-2B9D-459C-9E55-D8BB4B36FA6A}"/>
            </c:ext>
          </c:extLst>
        </c:ser>
        <c:dLbls>
          <c:showLegendKey val="0"/>
          <c:showVal val="0"/>
          <c:showCatName val="0"/>
          <c:showSerName val="0"/>
          <c:showPercent val="0"/>
          <c:showBubbleSize val="0"/>
        </c:dLbls>
        <c:gapWidth val="219"/>
        <c:overlap val="-27"/>
        <c:axId val="1385914479"/>
        <c:axId val="977759503"/>
      </c:barChart>
      <c:catAx>
        <c:axId val="138591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759503"/>
        <c:crosses val="autoZero"/>
        <c:auto val="1"/>
        <c:lblAlgn val="ctr"/>
        <c:lblOffset val="100"/>
        <c:noMultiLvlLbl val="0"/>
      </c:catAx>
      <c:valAx>
        <c:axId val="9777595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1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[Clean_Ledger_Data_2025.xlsx]Pivot Tables!PivotTable13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Tables'!$F$18</c:f>
              <c:strCache>
                <c:ptCount val="1"/>
                <c:pt idx="0">
                  <c:v>Budget</c:v>
                </c:pt>
              </c:strCache>
            </c:strRef>
          </c:tx>
          <c:spPr>
            <a:solidFill>
              <a:schemeClr val="accent1"/>
            </a:solidFill>
            <a:ln>
              <a:noFill/>
            </a:ln>
            <a:effectLst/>
          </c:spPr>
          <c:invertIfNegative val="0"/>
          <c:cat>
            <c:multiLvlStrRef>
              <c:f>'Pivot Tables'!$E$19:$E$29</c:f>
              <c:multiLvlStrCache>
                <c:ptCount val="5"/>
                <c:lvl>
                  <c:pt idx="0">
                    <c:v>Expense</c:v>
                  </c:pt>
                  <c:pt idx="1">
                    <c:v>Expense</c:v>
                  </c:pt>
                  <c:pt idx="2">
                    <c:v>Expense</c:v>
                  </c:pt>
                  <c:pt idx="3">
                    <c:v>Expense</c:v>
                  </c:pt>
                  <c:pt idx="4">
                    <c:v>Expense</c:v>
                  </c:pt>
                </c:lvl>
                <c:lvl>
                  <c:pt idx="0">
                    <c:v>Central</c:v>
                  </c:pt>
                  <c:pt idx="1">
                    <c:v>East</c:v>
                  </c:pt>
                  <c:pt idx="2">
                    <c:v>North</c:v>
                  </c:pt>
                  <c:pt idx="3">
                    <c:v>South</c:v>
                  </c:pt>
                  <c:pt idx="4">
                    <c:v>West</c:v>
                  </c:pt>
                </c:lvl>
              </c:multiLvlStrCache>
            </c:multiLvlStrRef>
          </c:cat>
          <c:val>
            <c:numRef>
              <c:f>'Pivot Tables'!$F$19:$F$29</c:f>
              <c:numCache>
                <c:formatCode>\$#,##0</c:formatCode>
                <c:ptCount val="5"/>
                <c:pt idx="0">
                  <c:v>141534</c:v>
                </c:pt>
                <c:pt idx="1">
                  <c:v>23679</c:v>
                </c:pt>
                <c:pt idx="2">
                  <c:v>107977</c:v>
                </c:pt>
                <c:pt idx="3">
                  <c:v>122509</c:v>
                </c:pt>
                <c:pt idx="4">
                  <c:v>95991</c:v>
                </c:pt>
              </c:numCache>
            </c:numRef>
          </c:val>
          <c:extLst>
            <c:ext xmlns:c16="http://schemas.microsoft.com/office/drawing/2014/chart" uri="{C3380CC4-5D6E-409C-BE32-E72D297353CC}">
              <c16:uniqueId val="{00000000-6CBA-4A52-B6BC-9DD8E54E1711}"/>
            </c:ext>
          </c:extLst>
        </c:ser>
        <c:ser>
          <c:idx val="1"/>
          <c:order val="1"/>
          <c:tx>
            <c:strRef>
              <c:f>'Pivot Tables'!$G$18</c:f>
              <c:strCache>
                <c:ptCount val="1"/>
                <c:pt idx="0">
                  <c:v>Actual</c:v>
                </c:pt>
              </c:strCache>
            </c:strRef>
          </c:tx>
          <c:spPr>
            <a:solidFill>
              <a:schemeClr val="accent2"/>
            </a:solidFill>
            <a:ln>
              <a:noFill/>
            </a:ln>
            <a:effectLst/>
          </c:spPr>
          <c:invertIfNegative val="0"/>
          <c:cat>
            <c:multiLvlStrRef>
              <c:f>'Pivot Tables'!$E$19:$E$29</c:f>
              <c:multiLvlStrCache>
                <c:ptCount val="5"/>
                <c:lvl>
                  <c:pt idx="0">
                    <c:v>Expense</c:v>
                  </c:pt>
                  <c:pt idx="1">
                    <c:v>Expense</c:v>
                  </c:pt>
                  <c:pt idx="2">
                    <c:v>Expense</c:v>
                  </c:pt>
                  <c:pt idx="3">
                    <c:v>Expense</c:v>
                  </c:pt>
                  <c:pt idx="4">
                    <c:v>Expense</c:v>
                  </c:pt>
                </c:lvl>
                <c:lvl>
                  <c:pt idx="0">
                    <c:v>Central</c:v>
                  </c:pt>
                  <c:pt idx="1">
                    <c:v>East</c:v>
                  </c:pt>
                  <c:pt idx="2">
                    <c:v>North</c:v>
                  </c:pt>
                  <c:pt idx="3">
                    <c:v>South</c:v>
                  </c:pt>
                  <c:pt idx="4">
                    <c:v>West</c:v>
                  </c:pt>
                </c:lvl>
              </c:multiLvlStrCache>
            </c:multiLvlStrRef>
          </c:cat>
          <c:val>
            <c:numRef>
              <c:f>'Pivot Tables'!$G$19:$G$29</c:f>
              <c:numCache>
                <c:formatCode>\$#,##0</c:formatCode>
                <c:ptCount val="5"/>
                <c:pt idx="0">
                  <c:v>145195</c:v>
                </c:pt>
                <c:pt idx="1">
                  <c:v>22137</c:v>
                </c:pt>
                <c:pt idx="2">
                  <c:v>109264</c:v>
                </c:pt>
                <c:pt idx="3">
                  <c:v>125754</c:v>
                </c:pt>
                <c:pt idx="4">
                  <c:v>97549</c:v>
                </c:pt>
              </c:numCache>
            </c:numRef>
          </c:val>
          <c:extLst>
            <c:ext xmlns:c16="http://schemas.microsoft.com/office/drawing/2014/chart" uri="{C3380CC4-5D6E-409C-BE32-E72D297353CC}">
              <c16:uniqueId val="{00000001-6CBA-4A52-B6BC-9DD8E54E1711}"/>
            </c:ext>
          </c:extLst>
        </c:ser>
        <c:dLbls>
          <c:showLegendKey val="0"/>
          <c:showVal val="0"/>
          <c:showCatName val="0"/>
          <c:showSerName val="0"/>
          <c:showPercent val="0"/>
          <c:showBubbleSize val="0"/>
        </c:dLbls>
        <c:gapWidth val="182"/>
        <c:axId val="1764672431"/>
        <c:axId val="1245498639"/>
      </c:barChart>
      <c:catAx>
        <c:axId val="1764672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498639"/>
        <c:crosses val="autoZero"/>
        <c:auto val="1"/>
        <c:lblAlgn val="ctr"/>
        <c:lblOffset val="100"/>
        <c:noMultiLvlLbl val="0"/>
      </c:catAx>
      <c:valAx>
        <c:axId val="124549863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67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[Clean_Ledger_Data_2025.xlsx]Pivot Tables!PivotTable11</c:name>
    <c:fmtId val="2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CA" b="1"/>
              <a:t>Budget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w="19050">
            <a:solidFill>
              <a:schemeClr val="lt1"/>
            </a:solidFill>
          </a:ln>
          <a:effectLst/>
        </c:spPr>
        <c:dLbl>
          <c:idx val="0"/>
          <c:layout>
            <c:manualLayout>
              <c:x val="6.6910214348206473E-2"/>
              <c:y val="-6.38888888888888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8.9982502187226597E-4"/>
              <c:y val="-1.9357684456109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w="19050">
            <a:solidFill>
              <a:schemeClr val="lt1"/>
            </a:solidFill>
          </a:ln>
          <a:effectLst/>
        </c:spPr>
        <c:dLbl>
          <c:idx val="0"/>
          <c:layout>
            <c:manualLayout>
              <c:x val="3.838232720909876E-2"/>
              <c:y val="-9.825750947798191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solidFill>
          <a:ln w="19050">
            <a:solidFill>
              <a:schemeClr val="lt1"/>
            </a:solidFill>
          </a:ln>
          <a:effectLst/>
        </c:spPr>
        <c:dLbl>
          <c:idx val="0"/>
          <c:layout>
            <c:manualLayout>
              <c:x val="0.12537970253718281"/>
              <c:y val="-1.95363079615048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8.9982502187226597E-4"/>
              <c:y val="-1.9357684456109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3.838232720909876E-2"/>
              <c:y val="-9.825750947798191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0.12537970253718281"/>
              <c:y val="-1.95363079615048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dLbl>
          <c:idx val="0"/>
          <c:layout>
            <c:manualLayout>
              <c:x val="6.6910214348206473E-2"/>
              <c:y val="-6.38888888888888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19050">
            <a:solidFill>
              <a:schemeClr val="lt1"/>
            </a:solidFill>
          </a:ln>
          <a:effectLst/>
        </c:spPr>
        <c:dLbl>
          <c:idx val="0"/>
          <c:layout>
            <c:manualLayout>
              <c:x val="8.9982502187226597E-4"/>
              <c:y val="-1.9357684456109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19050">
            <a:solidFill>
              <a:schemeClr val="lt1"/>
            </a:solidFill>
          </a:ln>
          <a:effectLst/>
        </c:spPr>
        <c:dLbl>
          <c:idx val="0"/>
          <c:layout>
            <c:manualLayout>
              <c:x val="3.838232720909876E-2"/>
              <c:y val="-9.825750947798191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19050">
            <a:solidFill>
              <a:schemeClr val="lt1"/>
            </a:solidFill>
          </a:ln>
          <a:effectLst/>
        </c:spPr>
        <c:dLbl>
          <c:idx val="0"/>
          <c:layout>
            <c:manualLayout>
              <c:x val="0.1430327609079779"/>
              <c:y val="-3.460694514385700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dLbl>
          <c:idx val="0"/>
          <c:layout>
            <c:manualLayout>
              <c:x val="6.6910214348206473E-2"/>
              <c:y val="-6.38888888888888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19050">
            <a:solidFill>
              <a:schemeClr val="lt1"/>
            </a:solidFill>
          </a:ln>
          <a:effectLst/>
        </c:spPr>
        <c:dLbl>
          <c:idx val="0"/>
          <c:layout>
            <c:manualLayout>
              <c:x val="-1.9158948394981279E-2"/>
              <c:y val="5.791030505967293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19050">
            <a:solidFill>
              <a:schemeClr val="lt1"/>
            </a:solidFill>
          </a:ln>
          <a:effectLst/>
        </c:spPr>
        <c:dLbl>
          <c:idx val="0"/>
          <c:layout>
            <c:manualLayout>
              <c:x val="-4.1065810938391345E-2"/>
              <c:y val="-3.35177250891280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19050">
            <a:solidFill>
              <a:schemeClr val="lt1"/>
            </a:solidFill>
          </a:ln>
          <a:effectLst/>
        </c:spPr>
        <c:dLbl>
          <c:idx val="0"/>
          <c:layout>
            <c:manualLayout>
              <c:x val="2.1480267949777209E-2"/>
              <c:y val="-1.55657414871324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s>
    <c:plotArea>
      <c:layout/>
      <c:pieChart>
        <c:varyColors val="1"/>
        <c:ser>
          <c:idx val="0"/>
          <c:order val="0"/>
          <c:tx>
            <c:strRef>
              <c:f>'Pivot Tables'!$B$3:$B$4</c:f>
              <c:strCache>
                <c:ptCount val="1"/>
                <c:pt idx="0">
                  <c:v>February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7B-42D2-BF7D-8B1BE99451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7B-42D2-BF7D-8B1BE99451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7B-42D2-BF7D-8B1BE99451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E7B-42D2-BF7D-8B1BE994515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E7B-42D2-BF7D-8B1BE994515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E7B-42D2-BF7D-8B1BE994515E}"/>
              </c:ext>
            </c:extLst>
          </c:dPt>
          <c:dLbls>
            <c:dLbl>
              <c:idx val="0"/>
              <c:layout>
                <c:manualLayout>
                  <c:x val="-1.9158948394981279E-2"/>
                  <c:y val="5.7910305059672932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7B-42D2-BF7D-8B1BE994515E}"/>
                </c:ext>
              </c:extLst>
            </c:dLbl>
            <c:dLbl>
              <c:idx val="1"/>
              <c:layout>
                <c:manualLayout>
                  <c:x val="-4.1065810938391345E-2"/>
                  <c:y val="-3.35177250891280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E7B-42D2-BF7D-8B1BE994515E}"/>
                </c:ext>
              </c:extLst>
            </c:dLbl>
            <c:dLbl>
              <c:idx val="2"/>
              <c:layout>
                <c:manualLayout>
                  <c:x val="2.1480267949777209E-2"/>
                  <c:y val="-1.556574148713241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E7B-42D2-BF7D-8B1BE994515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Tables'!$A$5:$A$11</c:f>
              <c:strCache>
                <c:ptCount val="6"/>
                <c:pt idx="0">
                  <c:v>Infrastructure</c:v>
                </c:pt>
                <c:pt idx="1">
                  <c:v>Marketing Spend</c:v>
                </c:pt>
                <c:pt idx="2">
                  <c:v>Salaries</c:v>
                </c:pt>
                <c:pt idx="3">
                  <c:v>Training</c:v>
                </c:pt>
                <c:pt idx="4">
                  <c:v>Travel</c:v>
                </c:pt>
                <c:pt idx="5">
                  <c:v>Utilities</c:v>
                </c:pt>
              </c:strCache>
            </c:strRef>
          </c:cat>
          <c:val>
            <c:numRef>
              <c:f>'Pivot Tables'!$B$5:$B$11</c:f>
              <c:numCache>
                <c:formatCode>\$#,##0</c:formatCode>
                <c:ptCount val="6"/>
                <c:pt idx="0">
                  <c:v>76115</c:v>
                </c:pt>
                <c:pt idx="1">
                  <c:v>40954</c:v>
                </c:pt>
                <c:pt idx="2">
                  <c:v>324477</c:v>
                </c:pt>
                <c:pt idx="3">
                  <c:v>13797</c:v>
                </c:pt>
                <c:pt idx="4">
                  <c:v>12668</c:v>
                </c:pt>
                <c:pt idx="5">
                  <c:v>23679</c:v>
                </c:pt>
              </c:numCache>
            </c:numRef>
          </c:val>
          <c:extLst>
            <c:ext xmlns:c16="http://schemas.microsoft.com/office/drawing/2014/chart" uri="{C3380CC4-5D6E-409C-BE32-E72D297353CC}">
              <c16:uniqueId val="{0000000C-8E7B-42D2-BF7D-8B1BE99451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[Clean_Ledger_Data_2025.xlsx]Pivot Tables!PivotTable1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Actual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dLbl>
          <c:idx val="0"/>
          <c:layout>
            <c:manualLayout>
              <c:x val="-6.665243094172231E-2"/>
              <c:y val="2.91302608727939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c:spPr>
        <c:dLbl>
          <c:idx val="0"/>
          <c:layout>
            <c:manualLayout>
              <c:x val="-2.1181622445849049E-2"/>
              <c:y val="-3.297554813328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c:spPr>
        <c:dLbl>
          <c:idx val="0"/>
          <c:layout>
            <c:manualLayout>
              <c:x val="-0.11817041645438002"/>
              <c:y val="0.105810870447375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dLbl>
          <c:idx val="0"/>
          <c:layout>
            <c:manualLayout>
              <c:x val="0.12721888161521253"/>
              <c:y val="1.115380136402432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dLbl>
          <c:idx val="0"/>
          <c:layout>
            <c:manualLayout>
              <c:x val="5.7837875139297168E-2"/>
              <c:y val="-9.566489060962581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s>
    <c:plotArea>
      <c:layout/>
      <c:pieChart>
        <c:varyColors val="1"/>
        <c:ser>
          <c:idx val="0"/>
          <c:order val="0"/>
          <c:tx>
            <c:strRef>
              <c:f>'Pivot Tables'!$K$18:$K$19</c:f>
              <c:strCache>
                <c:ptCount val="1"/>
                <c:pt idx="0">
                  <c:v>January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5A-4C24-950F-AD9BC42165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5A-4C24-950F-AD9BC42165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5A-4C24-950F-AD9BC42165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B5A-4C24-950F-AD9BC421652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B5A-4C24-950F-AD9BC421652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B5A-4C24-950F-AD9BC421652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B5A-4C24-950F-AD9BC421652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B5A-4C24-950F-AD9BC4216526}"/>
              </c:ext>
            </c:extLst>
          </c:dPt>
          <c:dLbls>
            <c:dLbl>
              <c:idx val="0"/>
              <c:layout>
                <c:manualLayout>
                  <c:x val="-6.665243094172231E-2"/>
                  <c:y val="2.913026087279392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5A-4C24-950F-AD9BC4216526}"/>
                </c:ext>
              </c:extLst>
            </c:dLbl>
            <c:dLbl>
              <c:idx val="1"/>
              <c:layout>
                <c:manualLayout>
                  <c:x val="-2.1181622445849049E-2"/>
                  <c:y val="-3.2975548133283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B5A-4C24-950F-AD9BC4216526}"/>
                </c:ext>
              </c:extLst>
            </c:dLbl>
            <c:dLbl>
              <c:idx val="2"/>
              <c:layout>
                <c:manualLayout>
                  <c:x val="0.12721888161521253"/>
                  <c:y val="1.1153801364024328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B5A-4C24-950F-AD9BC4216526}"/>
                </c:ext>
              </c:extLst>
            </c:dLbl>
            <c:dLbl>
              <c:idx val="5"/>
              <c:layout>
                <c:manualLayout>
                  <c:x val="5.7837875139297168E-2"/>
                  <c:y val="-9.566489060962581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B5A-4C24-950F-AD9BC421652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Tables'!$J$20:$J$26</c:f>
              <c:strCache>
                <c:ptCount val="6"/>
                <c:pt idx="0">
                  <c:v>Infrastructure</c:v>
                </c:pt>
                <c:pt idx="1">
                  <c:v>Marketing Spend</c:v>
                </c:pt>
                <c:pt idx="2">
                  <c:v>Salaries</c:v>
                </c:pt>
                <c:pt idx="3">
                  <c:v>Training</c:v>
                </c:pt>
                <c:pt idx="4">
                  <c:v>Travel</c:v>
                </c:pt>
                <c:pt idx="5">
                  <c:v>Utilities</c:v>
                </c:pt>
              </c:strCache>
            </c:strRef>
          </c:cat>
          <c:val>
            <c:numRef>
              <c:f>'Pivot Tables'!$K$20:$K$26</c:f>
              <c:numCache>
                <c:formatCode>\$#,##0</c:formatCode>
                <c:ptCount val="6"/>
                <c:pt idx="0">
                  <c:v>58614</c:v>
                </c:pt>
                <c:pt idx="1">
                  <c:v>25367</c:v>
                </c:pt>
                <c:pt idx="2">
                  <c:v>304544</c:v>
                </c:pt>
                <c:pt idx="3">
                  <c:v>19889</c:v>
                </c:pt>
                <c:pt idx="4">
                  <c:v>17138</c:v>
                </c:pt>
                <c:pt idx="5">
                  <c:v>40864</c:v>
                </c:pt>
              </c:numCache>
            </c:numRef>
          </c:val>
          <c:extLst>
            <c:ext xmlns:c16="http://schemas.microsoft.com/office/drawing/2014/chart" uri="{C3380CC4-5D6E-409C-BE32-E72D297353CC}">
              <c16:uniqueId val="{00000010-CB5A-4C24-950F-AD9BC4216526}"/>
            </c:ext>
          </c:extLst>
        </c:ser>
        <c:ser>
          <c:idx val="1"/>
          <c:order val="1"/>
          <c:tx>
            <c:strRef>
              <c:f>'Pivot Tables'!$L$18:$L$19</c:f>
              <c:strCache>
                <c:ptCount val="1"/>
                <c:pt idx="0">
                  <c:v>February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2-CB5A-4C24-950F-AD9BC42165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4-CB5A-4C24-950F-AD9BC42165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6-CB5A-4C24-950F-AD9BC42165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8-CB5A-4C24-950F-AD9BC421652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A-CB5A-4C24-950F-AD9BC421652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C-CB5A-4C24-950F-AD9BC421652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E-CB5A-4C24-950F-AD9BC421652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0-CB5A-4C24-950F-AD9BC42165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Tables'!$J$20:$J$26</c:f>
              <c:strCache>
                <c:ptCount val="6"/>
                <c:pt idx="0">
                  <c:v>Infrastructure</c:v>
                </c:pt>
                <c:pt idx="1">
                  <c:v>Marketing Spend</c:v>
                </c:pt>
                <c:pt idx="2">
                  <c:v>Salaries</c:v>
                </c:pt>
                <c:pt idx="3">
                  <c:v>Training</c:v>
                </c:pt>
                <c:pt idx="4">
                  <c:v>Travel</c:v>
                </c:pt>
                <c:pt idx="5">
                  <c:v>Utilities</c:v>
                </c:pt>
              </c:strCache>
            </c:strRef>
          </c:cat>
          <c:val>
            <c:numRef>
              <c:f>'Pivot Tables'!$L$20:$L$26</c:f>
              <c:numCache>
                <c:formatCode>\$#,##0</c:formatCode>
                <c:ptCount val="6"/>
                <c:pt idx="0">
                  <c:v>78894</c:v>
                </c:pt>
                <c:pt idx="1">
                  <c:v>43825</c:v>
                </c:pt>
                <c:pt idx="2">
                  <c:v>326577</c:v>
                </c:pt>
                <c:pt idx="3">
                  <c:v>15353</c:v>
                </c:pt>
                <c:pt idx="4">
                  <c:v>13113</c:v>
                </c:pt>
                <c:pt idx="5">
                  <c:v>22137</c:v>
                </c:pt>
              </c:numCache>
            </c:numRef>
          </c:val>
          <c:extLst>
            <c:ext xmlns:c16="http://schemas.microsoft.com/office/drawing/2014/chart" uri="{C3380CC4-5D6E-409C-BE32-E72D297353CC}">
              <c16:uniqueId val="{00000021-CB5A-4C24-950F-AD9BC4216526}"/>
            </c:ext>
          </c:extLst>
        </c:ser>
        <c:ser>
          <c:idx val="2"/>
          <c:order val="2"/>
          <c:tx>
            <c:strRef>
              <c:f>'Pivot Tables'!$M$18:$M$19</c:f>
              <c:strCache>
                <c:ptCount val="1"/>
                <c:pt idx="0">
                  <c:v>March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3-CB5A-4C24-950F-AD9BC42165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5-CB5A-4C24-950F-AD9BC42165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7-CB5A-4C24-950F-AD9BC42165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9-CB5A-4C24-950F-AD9BC421652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B-CB5A-4C24-950F-AD9BC421652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D-CB5A-4C24-950F-AD9BC421652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F-CB5A-4C24-950F-AD9BC421652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1-CB5A-4C24-950F-AD9BC42165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Tables'!$J$20:$J$26</c:f>
              <c:strCache>
                <c:ptCount val="6"/>
                <c:pt idx="0">
                  <c:v>Infrastructure</c:v>
                </c:pt>
                <c:pt idx="1">
                  <c:v>Marketing Spend</c:v>
                </c:pt>
                <c:pt idx="2">
                  <c:v>Salaries</c:v>
                </c:pt>
                <c:pt idx="3">
                  <c:v>Training</c:v>
                </c:pt>
                <c:pt idx="4">
                  <c:v>Travel</c:v>
                </c:pt>
                <c:pt idx="5">
                  <c:v>Utilities</c:v>
                </c:pt>
              </c:strCache>
            </c:strRef>
          </c:cat>
          <c:val>
            <c:numRef>
              <c:f>'Pivot Tables'!$M$20:$M$26</c:f>
              <c:numCache>
                <c:formatCode>\$#,##0</c:formatCode>
                <c:ptCount val="6"/>
                <c:pt idx="0">
                  <c:v>23607</c:v>
                </c:pt>
                <c:pt idx="1">
                  <c:v>18659</c:v>
                </c:pt>
                <c:pt idx="2">
                  <c:v>309825</c:v>
                </c:pt>
                <c:pt idx="3">
                  <c:v>8839</c:v>
                </c:pt>
                <c:pt idx="4">
                  <c:v>18428</c:v>
                </c:pt>
                <c:pt idx="5">
                  <c:v>78036</c:v>
                </c:pt>
              </c:numCache>
            </c:numRef>
          </c:val>
          <c:extLst>
            <c:ext xmlns:c16="http://schemas.microsoft.com/office/drawing/2014/chart" uri="{C3380CC4-5D6E-409C-BE32-E72D297353CC}">
              <c16:uniqueId val="{00000032-CB5A-4C24-950F-AD9BC4216526}"/>
            </c:ext>
          </c:extLst>
        </c:ser>
        <c:ser>
          <c:idx val="3"/>
          <c:order val="3"/>
          <c:tx>
            <c:strRef>
              <c:f>'Pivot Tables'!$N$18:$N$19</c:f>
              <c:strCache>
                <c:ptCount val="1"/>
                <c:pt idx="0">
                  <c:v>April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4-CB5A-4C24-950F-AD9BC42165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6-CB5A-4C24-950F-AD9BC42165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8-CB5A-4C24-950F-AD9BC42165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A-CB5A-4C24-950F-AD9BC421652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C-CB5A-4C24-950F-AD9BC421652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E-CB5A-4C24-950F-AD9BC421652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0-CB5A-4C24-950F-AD9BC421652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2-CB5A-4C24-950F-AD9BC42165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Tables'!$J$20:$J$26</c:f>
              <c:strCache>
                <c:ptCount val="6"/>
                <c:pt idx="0">
                  <c:v>Infrastructure</c:v>
                </c:pt>
                <c:pt idx="1">
                  <c:v>Marketing Spend</c:v>
                </c:pt>
                <c:pt idx="2">
                  <c:v>Salaries</c:v>
                </c:pt>
                <c:pt idx="3">
                  <c:v>Training</c:v>
                </c:pt>
                <c:pt idx="4">
                  <c:v>Travel</c:v>
                </c:pt>
                <c:pt idx="5">
                  <c:v>Utilities</c:v>
                </c:pt>
              </c:strCache>
            </c:strRef>
          </c:cat>
          <c:val>
            <c:numRef>
              <c:f>'Pivot Tables'!$N$20:$N$26</c:f>
              <c:numCache>
                <c:formatCode>\$#,##0</c:formatCode>
                <c:ptCount val="6"/>
                <c:pt idx="0">
                  <c:v>20286</c:v>
                </c:pt>
                <c:pt idx="1">
                  <c:v>50017</c:v>
                </c:pt>
                <c:pt idx="2">
                  <c:v>305777</c:v>
                </c:pt>
                <c:pt idx="4">
                  <c:v>5149</c:v>
                </c:pt>
                <c:pt idx="5">
                  <c:v>20481</c:v>
                </c:pt>
              </c:numCache>
            </c:numRef>
          </c:val>
          <c:extLst>
            <c:ext xmlns:c16="http://schemas.microsoft.com/office/drawing/2014/chart" uri="{C3380CC4-5D6E-409C-BE32-E72D297353CC}">
              <c16:uniqueId val="{00000043-CB5A-4C24-950F-AD9BC4216526}"/>
            </c:ext>
          </c:extLst>
        </c:ser>
        <c:ser>
          <c:idx val="4"/>
          <c:order val="4"/>
          <c:tx>
            <c:strRef>
              <c:f>'Pivot Tables'!$O$18:$O$19</c:f>
              <c:strCache>
                <c:ptCount val="1"/>
                <c:pt idx="0">
                  <c:v>May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5-CB5A-4C24-950F-AD9BC42165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7-CB5A-4C24-950F-AD9BC42165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9-CB5A-4C24-950F-AD9BC42165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B-CB5A-4C24-950F-AD9BC421652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D-CB5A-4C24-950F-AD9BC421652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F-CB5A-4C24-950F-AD9BC421652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1-CB5A-4C24-950F-AD9BC421652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3-CB5A-4C24-950F-AD9BC42165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Tables'!$J$20:$J$26</c:f>
              <c:strCache>
                <c:ptCount val="6"/>
                <c:pt idx="0">
                  <c:v>Infrastructure</c:v>
                </c:pt>
                <c:pt idx="1">
                  <c:v>Marketing Spend</c:v>
                </c:pt>
                <c:pt idx="2">
                  <c:v>Salaries</c:v>
                </c:pt>
                <c:pt idx="3">
                  <c:v>Training</c:v>
                </c:pt>
                <c:pt idx="4">
                  <c:v>Travel</c:v>
                </c:pt>
                <c:pt idx="5">
                  <c:v>Utilities</c:v>
                </c:pt>
              </c:strCache>
            </c:strRef>
          </c:cat>
          <c:val>
            <c:numRef>
              <c:f>'Pivot Tables'!$O$20:$O$26</c:f>
              <c:numCache>
                <c:formatCode>\$#,##0</c:formatCode>
                <c:ptCount val="6"/>
                <c:pt idx="0">
                  <c:v>44297</c:v>
                </c:pt>
                <c:pt idx="1">
                  <c:v>73134</c:v>
                </c:pt>
                <c:pt idx="2">
                  <c:v>319171</c:v>
                </c:pt>
                <c:pt idx="3">
                  <c:v>5987</c:v>
                </c:pt>
                <c:pt idx="4">
                  <c:v>8422</c:v>
                </c:pt>
                <c:pt idx="5">
                  <c:v>40730</c:v>
                </c:pt>
              </c:numCache>
            </c:numRef>
          </c:val>
          <c:extLst>
            <c:ext xmlns:c16="http://schemas.microsoft.com/office/drawing/2014/chart" uri="{C3380CC4-5D6E-409C-BE32-E72D297353CC}">
              <c16:uniqueId val="{00000054-CB5A-4C24-950F-AD9BC4216526}"/>
            </c:ext>
          </c:extLst>
        </c:ser>
        <c:ser>
          <c:idx val="5"/>
          <c:order val="5"/>
          <c:tx>
            <c:strRef>
              <c:f>'Pivot Tables'!$P$18:$P$19</c:f>
              <c:strCache>
                <c:ptCount val="1"/>
                <c:pt idx="0">
                  <c:v>June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6-CB5A-4C24-950F-AD9BC42165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8-CB5A-4C24-950F-AD9BC42165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A-CB5A-4C24-950F-AD9BC42165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C-CB5A-4C24-950F-AD9BC421652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E-CB5A-4C24-950F-AD9BC421652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60-CB5A-4C24-950F-AD9BC421652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62-CB5A-4C24-950F-AD9BC421652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64-CB5A-4C24-950F-AD9BC42165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Tables'!$J$20:$J$26</c:f>
              <c:strCache>
                <c:ptCount val="6"/>
                <c:pt idx="0">
                  <c:v>Infrastructure</c:v>
                </c:pt>
                <c:pt idx="1">
                  <c:v>Marketing Spend</c:v>
                </c:pt>
                <c:pt idx="2">
                  <c:v>Salaries</c:v>
                </c:pt>
                <c:pt idx="3">
                  <c:v>Training</c:v>
                </c:pt>
                <c:pt idx="4">
                  <c:v>Travel</c:v>
                </c:pt>
                <c:pt idx="5">
                  <c:v>Utilities</c:v>
                </c:pt>
              </c:strCache>
            </c:strRef>
          </c:cat>
          <c:val>
            <c:numRef>
              <c:f>'Pivot Tables'!$P$20:$P$26</c:f>
              <c:numCache>
                <c:formatCode>\$#,##0</c:formatCode>
                <c:ptCount val="6"/>
                <c:pt idx="0">
                  <c:v>39120</c:v>
                </c:pt>
                <c:pt idx="1">
                  <c:v>29840</c:v>
                </c:pt>
                <c:pt idx="2">
                  <c:v>302755</c:v>
                </c:pt>
                <c:pt idx="4">
                  <c:v>11913</c:v>
                </c:pt>
                <c:pt idx="5">
                  <c:v>16800</c:v>
                </c:pt>
              </c:numCache>
            </c:numRef>
          </c:val>
          <c:extLst>
            <c:ext xmlns:c16="http://schemas.microsoft.com/office/drawing/2014/chart" uri="{C3380CC4-5D6E-409C-BE32-E72D297353CC}">
              <c16:uniqueId val="{00000065-CB5A-4C24-950F-AD9BC4216526}"/>
            </c:ext>
          </c:extLst>
        </c:ser>
        <c:ser>
          <c:idx val="6"/>
          <c:order val="6"/>
          <c:tx>
            <c:strRef>
              <c:f>'Pivot Tables'!$Q$18:$Q$19</c:f>
              <c:strCache>
                <c:ptCount val="1"/>
                <c:pt idx="0">
                  <c:v>July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7-CB5A-4C24-950F-AD9BC42165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9-CB5A-4C24-950F-AD9BC42165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6B-CB5A-4C24-950F-AD9BC42165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D-CB5A-4C24-950F-AD9BC421652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F-CB5A-4C24-950F-AD9BC421652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1-CB5A-4C24-950F-AD9BC421652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3-CB5A-4C24-950F-AD9BC421652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5-CB5A-4C24-950F-AD9BC42165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Tables'!$J$20:$J$26</c:f>
              <c:strCache>
                <c:ptCount val="6"/>
                <c:pt idx="0">
                  <c:v>Infrastructure</c:v>
                </c:pt>
                <c:pt idx="1">
                  <c:v>Marketing Spend</c:v>
                </c:pt>
                <c:pt idx="2">
                  <c:v>Salaries</c:v>
                </c:pt>
                <c:pt idx="3">
                  <c:v>Training</c:v>
                </c:pt>
                <c:pt idx="4">
                  <c:v>Travel</c:v>
                </c:pt>
                <c:pt idx="5">
                  <c:v>Utilities</c:v>
                </c:pt>
              </c:strCache>
            </c:strRef>
          </c:cat>
          <c:val>
            <c:numRef>
              <c:f>'Pivot Tables'!$Q$20:$Q$26</c:f>
              <c:numCache>
                <c:formatCode>\$#,##0</c:formatCode>
                <c:ptCount val="6"/>
                <c:pt idx="0">
                  <c:v>47588</c:v>
                </c:pt>
                <c:pt idx="1">
                  <c:v>17966</c:v>
                </c:pt>
                <c:pt idx="2">
                  <c:v>319768</c:v>
                </c:pt>
                <c:pt idx="3">
                  <c:v>8007</c:v>
                </c:pt>
                <c:pt idx="4">
                  <c:v>20892</c:v>
                </c:pt>
                <c:pt idx="5">
                  <c:v>25000</c:v>
                </c:pt>
              </c:numCache>
            </c:numRef>
          </c:val>
          <c:extLst>
            <c:ext xmlns:c16="http://schemas.microsoft.com/office/drawing/2014/chart" uri="{C3380CC4-5D6E-409C-BE32-E72D297353CC}">
              <c16:uniqueId val="{00000076-CB5A-4C24-950F-AD9BC4216526}"/>
            </c:ext>
          </c:extLst>
        </c:ser>
        <c:ser>
          <c:idx val="7"/>
          <c:order val="7"/>
          <c:tx>
            <c:strRef>
              <c:f>'Pivot Tables'!$R$18:$R$19</c:f>
              <c:strCache>
                <c:ptCount val="1"/>
                <c:pt idx="0">
                  <c:v>August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8-CB5A-4C24-950F-AD9BC42165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A-CB5A-4C24-950F-AD9BC42165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C-CB5A-4C24-950F-AD9BC42165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E-CB5A-4C24-950F-AD9BC421652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80-CB5A-4C24-950F-AD9BC421652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82-CB5A-4C24-950F-AD9BC421652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84-CB5A-4C24-950F-AD9BC421652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86-CB5A-4C24-950F-AD9BC42165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Tables'!$J$20:$J$26</c:f>
              <c:strCache>
                <c:ptCount val="6"/>
                <c:pt idx="0">
                  <c:v>Infrastructure</c:v>
                </c:pt>
                <c:pt idx="1">
                  <c:v>Marketing Spend</c:v>
                </c:pt>
                <c:pt idx="2">
                  <c:v>Salaries</c:v>
                </c:pt>
                <c:pt idx="3">
                  <c:v>Training</c:v>
                </c:pt>
                <c:pt idx="4">
                  <c:v>Travel</c:v>
                </c:pt>
                <c:pt idx="5">
                  <c:v>Utilities</c:v>
                </c:pt>
              </c:strCache>
            </c:strRef>
          </c:cat>
          <c:val>
            <c:numRef>
              <c:f>'Pivot Tables'!$R$20:$R$26</c:f>
              <c:numCache>
                <c:formatCode>\$#,##0</c:formatCode>
                <c:ptCount val="6"/>
                <c:pt idx="0">
                  <c:v>22481</c:v>
                </c:pt>
                <c:pt idx="1">
                  <c:v>51999</c:v>
                </c:pt>
                <c:pt idx="2">
                  <c:v>333927</c:v>
                </c:pt>
                <c:pt idx="4">
                  <c:v>18446</c:v>
                </c:pt>
                <c:pt idx="5">
                  <c:v>23519</c:v>
                </c:pt>
              </c:numCache>
            </c:numRef>
          </c:val>
          <c:extLst>
            <c:ext xmlns:c16="http://schemas.microsoft.com/office/drawing/2014/chart" uri="{C3380CC4-5D6E-409C-BE32-E72D297353CC}">
              <c16:uniqueId val="{00000087-CB5A-4C24-950F-AD9BC4216526}"/>
            </c:ext>
          </c:extLst>
        </c:ser>
        <c:ser>
          <c:idx val="8"/>
          <c:order val="8"/>
          <c:tx>
            <c:strRef>
              <c:f>'Pivot Tables'!$S$18:$S$19</c:f>
              <c:strCache>
                <c:ptCount val="1"/>
                <c:pt idx="0">
                  <c:v>September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89-CB5A-4C24-950F-AD9BC42165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8B-CB5A-4C24-950F-AD9BC42165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8D-CB5A-4C24-950F-AD9BC42165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8F-CB5A-4C24-950F-AD9BC421652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91-CB5A-4C24-950F-AD9BC421652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93-CB5A-4C24-950F-AD9BC421652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95-CB5A-4C24-950F-AD9BC421652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97-CB5A-4C24-950F-AD9BC42165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Tables'!$J$20:$J$26</c:f>
              <c:strCache>
                <c:ptCount val="6"/>
                <c:pt idx="0">
                  <c:v>Infrastructure</c:v>
                </c:pt>
                <c:pt idx="1">
                  <c:v>Marketing Spend</c:v>
                </c:pt>
                <c:pt idx="2">
                  <c:v>Salaries</c:v>
                </c:pt>
                <c:pt idx="3">
                  <c:v>Training</c:v>
                </c:pt>
                <c:pt idx="4">
                  <c:v>Travel</c:v>
                </c:pt>
                <c:pt idx="5">
                  <c:v>Utilities</c:v>
                </c:pt>
              </c:strCache>
            </c:strRef>
          </c:cat>
          <c:val>
            <c:numRef>
              <c:f>'Pivot Tables'!$S$20:$S$26</c:f>
              <c:numCache>
                <c:formatCode>\$#,##0</c:formatCode>
                <c:ptCount val="6"/>
                <c:pt idx="0">
                  <c:v>36050</c:v>
                </c:pt>
                <c:pt idx="1">
                  <c:v>21254</c:v>
                </c:pt>
                <c:pt idx="2">
                  <c:v>303170</c:v>
                </c:pt>
                <c:pt idx="3">
                  <c:v>9124</c:v>
                </c:pt>
                <c:pt idx="4">
                  <c:v>10287</c:v>
                </c:pt>
                <c:pt idx="5">
                  <c:v>40922</c:v>
                </c:pt>
              </c:numCache>
            </c:numRef>
          </c:val>
          <c:extLst>
            <c:ext xmlns:c16="http://schemas.microsoft.com/office/drawing/2014/chart" uri="{C3380CC4-5D6E-409C-BE32-E72D297353CC}">
              <c16:uniqueId val="{00000098-CB5A-4C24-950F-AD9BC4216526}"/>
            </c:ext>
          </c:extLst>
        </c:ser>
        <c:ser>
          <c:idx val="9"/>
          <c:order val="9"/>
          <c:tx>
            <c:strRef>
              <c:f>'Pivot Tables'!$T$18:$T$19</c:f>
              <c:strCache>
                <c:ptCount val="1"/>
                <c:pt idx="0">
                  <c:v>October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9A-CB5A-4C24-950F-AD9BC42165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9C-CB5A-4C24-950F-AD9BC42165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9E-CB5A-4C24-950F-AD9BC42165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A0-CB5A-4C24-950F-AD9BC421652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A2-CB5A-4C24-950F-AD9BC421652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A4-CB5A-4C24-950F-AD9BC421652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A6-CB5A-4C24-950F-AD9BC421652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A8-CB5A-4C24-950F-AD9BC42165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Tables'!$J$20:$J$26</c:f>
              <c:strCache>
                <c:ptCount val="6"/>
                <c:pt idx="0">
                  <c:v>Infrastructure</c:v>
                </c:pt>
                <c:pt idx="1">
                  <c:v>Marketing Spend</c:v>
                </c:pt>
                <c:pt idx="2">
                  <c:v>Salaries</c:v>
                </c:pt>
                <c:pt idx="3">
                  <c:v>Training</c:v>
                </c:pt>
                <c:pt idx="4">
                  <c:v>Travel</c:v>
                </c:pt>
                <c:pt idx="5">
                  <c:v>Utilities</c:v>
                </c:pt>
              </c:strCache>
            </c:strRef>
          </c:cat>
          <c:val>
            <c:numRef>
              <c:f>'Pivot Tables'!$T$20:$T$26</c:f>
              <c:numCache>
                <c:formatCode>\$#,##0</c:formatCode>
                <c:ptCount val="6"/>
                <c:pt idx="0">
                  <c:v>38017</c:v>
                </c:pt>
                <c:pt idx="1">
                  <c:v>68632</c:v>
                </c:pt>
                <c:pt idx="2">
                  <c:v>335955</c:v>
                </c:pt>
                <c:pt idx="4">
                  <c:v>13130</c:v>
                </c:pt>
                <c:pt idx="5">
                  <c:v>53451</c:v>
                </c:pt>
              </c:numCache>
            </c:numRef>
          </c:val>
          <c:extLst>
            <c:ext xmlns:c16="http://schemas.microsoft.com/office/drawing/2014/chart" uri="{C3380CC4-5D6E-409C-BE32-E72D297353CC}">
              <c16:uniqueId val="{000000A9-CB5A-4C24-950F-AD9BC4216526}"/>
            </c:ext>
          </c:extLst>
        </c:ser>
        <c:ser>
          <c:idx val="10"/>
          <c:order val="10"/>
          <c:tx>
            <c:strRef>
              <c:f>'Pivot Tables'!$U$18:$U$19</c:f>
              <c:strCache>
                <c:ptCount val="1"/>
                <c:pt idx="0">
                  <c:v>November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AB-CB5A-4C24-950F-AD9BC42165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AD-CB5A-4C24-950F-AD9BC42165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AF-CB5A-4C24-950F-AD9BC42165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B1-CB5A-4C24-950F-AD9BC421652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B3-CB5A-4C24-950F-AD9BC421652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B5-CB5A-4C24-950F-AD9BC421652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B7-CB5A-4C24-950F-AD9BC421652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B9-CB5A-4C24-950F-AD9BC42165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Tables'!$J$20:$J$26</c:f>
              <c:strCache>
                <c:ptCount val="6"/>
                <c:pt idx="0">
                  <c:v>Infrastructure</c:v>
                </c:pt>
                <c:pt idx="1">
                  <c:v>Marketing Spend</c:v>
                </c:pt>
                <c:pt idx="2">
                  <c:v>Salaries</c:v>
                </c:pt>
                <c:pt idx="3">
                  <c:v>Training</c:v>
                </c:pt>
                <c:pt idx="4">
                  <c:v>Travel</c:v>
                </c:pt>
                <c:pt idx="5">
                  <c:v>Utilities</c:v>
                </c:pt>
              </c:strCache>
            </c:strRef>
          </c:cat>
          <c:val>
            <c:numRef>
              <c:f>'Pivot Tables'!$U$20:$U$26</c:f>
              <c:numCache>
                <c:formatCode>\$#,##0</c:formatCode>
                <c:ptCount val="6"/>
                <c:pt idx="0">
                  <c:v>45468</c:v>
                </c:pt>
                <c:pt idx="1">
                  <c:v>18718</c:v>
                </c:pt>
                <c:pt idx="2">
                  <c:v>322846</c:v>
                </c:pt>
                <c:pt idx="3">
                  <c:v>11318</c:v>
                </c:pt>
                <c:pt idx="4">
                  <c:v>7254</c:v>
                </c:pt>
                <c:pt idx="5">
                  <c:v>82370</c:v>
                </c:pt>
              </c:numCache>
            </c:numRef>
          </c:val>
          <c:extLst>
            <c:ext xmlns:c16="http://schemas.microsoft.com/office/drawing/2014/chart" uri="{C3380CC4-5D6E-409C-BE32-E72D297353CC}">
              <c16:uniqueId val="{000000BA-CB5A-4C24-950F-AD9BC4216526}"/>
            </c:ext>
          </c:extLst>
        </c:ser>
        <c:ser>
          <c:idx val="11"/>
          <c:order val="11"/>
          <c:tx>
            <c:strRef>
              <c:f>'Pivot Tables'!$V$18:$V$19</c:f>
              <c:strCache>
                <c:ptCount val="1"/>
                <c:pt idx="0">
                  <c:v>December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BC-CB5A-4C24-950F-AD9BC42165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BE-CB5A-4C24-950F-AD9BC42165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C0-CB5A-4C24-950F-AD9BC42165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C2-CB5A-4C24-950F-AD9BC421652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C4-CB5A-4C24-950F-AD9BC421652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C6-CB5A-4C24-950F-AD9BC421652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C8-CB5A-4C24-950F-AD9BC421652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CA-CB5A-4C24-950F-AD9BC42165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Tables'!$J$20:$J$26</c:f>
              <c:strCache>
                <c:ptCount val="6"/>
                <c:pt idx="0">
                  <c:v>Infrastructure</c:v>
                </c:pt>
                <c:pt idx="1">
                  <c:v>Marketing Spend</c:v>
                </c:pt>
                <c:pt idx="2">
                  <c:v>Salaries</c:v>
                </c:pt>
                <c:pt idx="3">
                  <c:v>Training</c:v>
                </c:pt>
                <c:pt idx="4">
                  <c:v>Travel</c:v>
                </c:pt>
                <c:pt idx="5">
                  <c:v>Utilities</c:v>
                </c:pt>
              </c:strCache>
            </c:strRef>
          </c:cat>
          <c:val>
            <c:numRef>
              <c:f>'Pivot Tables'!$V$20:$V$26</c:f>
              <c:numCache>
                <c:formatCode>\$#,##0</c:formatCode>
                <c:ptCount val="6"/>
                <c:pt idx="0">
                  <c:v>51898</c:v>
                </c:pt>
                <c:pt idx="1">
                  <c:v>63971</c:v>
                </c:pt>
                <c:pt idx="2">
                  <c:v>334451</c:v>
                </c:pt>
                <c:pt idx="3">
                  <c:v>15748</c:v>
                </c:pt>
                <c:pt idx="4">
                  <c:v>18215</c:v>
                </c:pt>
                <c:pt idx="5">
                  <c:v>40025</c:v>
                </c:pt>
              </c:numCache>
            </c:numRef>
          </c:val>
          <c:extLst>
            <c:ext xmlns:c16="http://schemas.microsoft.com/office/drawing/2014/chart" uri="{C3380CC4-5D6E-409C-BE32-E72D297353CC}">
              <c16:uniqueId val="{000000CB-CB5A-4C24-950F-AD9BC421652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Budget</c:v>
          </c:tx>
          <c:spPr>
            <a:solidFill>
              <a:schemeClr val="accent1"/>
            </a:solidFill>
            <a:ln>
              <a:noFill/>
            </a:ln>
            <a:effectLst/>
          </c:spPr>
          <c:invertIfNegative val="0"/>
          <c:cat>
            <c:strRef>
              <c:f>Dashboard!$B$9:$B$10</c:f>
              <c:strCache>
                <c:ptCount val="2"/>
                <c:pt idx="0">
                  <c:v>Product Revenue</c:v>
                </c:pt>
                <c:pt idx="1">
                  <c:v>Service Revenue</c:v>
                </c:pt>
              </c:strCache>
            </c:strRef>
          </c:cat>
          <c:val>
            <c:numRef>
              <c:f>Dashboard!$C$9:$C$10</c:f>
              <c:numCache>
                <c:formatCode>_(* #,##0_);_(* \(#,##0\);_(* "-"_);_(@_)</c:formatCode>
                <c:ptCount val="2"/>
                <c:pt idx="0">
                  <c:v>443559</c:v>
                </c:pt>
                <c:pt idx="1">
                  <c:v>127713</c:v>
                </c:pt>
              </c:numCache>
            </c:numRef>
          </c:val>
          <c:extLst>
            <c:ext xmlns:c16="http://schemas.microsoft.com/office/drawing/2014/chart" uri="{C3380CC4-5D6E-409C-BE32-E72D297353CC}">
              <c16:uniqueId val="{00000000-C919-4A5C-B81F-F781671B47F7}"/>
            </c:ext>
          </c:extLst>
        </c:ser>
        <c:ser>
          <c:idx val="1"/>
          <c:order val="1"/>
          <c:tx>
            <c:v>Actual</c:v>
          </c:tx>
          <c:spPr>
            <a:solidFill>
              <a:schemeClr val="accent2"/>
            </a:solidFill>
            <a:ln>
              <a:noFill/>
            </a:ln>
            <a:effectLst/>
          </c:spPr>
          <c:invertIfNegative val="0"/>
          <c:cat>
            <c:strRef>
              <c:f>Dashboard!$B$9:$B$10</c:f>
              <c:strCache>
                <c:ptCount val="2"/>
                <c:pt idx="0">
                  <c:v>Product Revenue</c:v>
                </c:pt>
                <c:pt idx="1">
                  <c:v>Service Revenue</c:v>
                </c:pt>
              </c:strCache>
            </c:strRef>
          </c:cat>
          <c:val>
            <c:numRef>
              <c:f>Dashboard!$D$9:$D$10</c:f>
              <c:numCache>
                <c:formatCode>_(* #,##0_);_(* \(#,##0\);_(* "-"_);_(@_)</c:formatCode>
                <c:ptCount val="2"/>
                <c:pt idx="0">
                  <c:v>459069</c:v>
                </c:pt>
                <c:pt idx="1">
                  <c:v>125945</c:v>
                </c:pt>
              </c:numCache>
            </c:numRef>
          </c:val>
          <c:extLst>
            <c:ext xmlns:c16="http://schemas.microsoft.com/office/drawing/2014/chart" uri="{C3380CC4-5D6E-409C-BE32-E72D297353CC}">
              <c16:uniqueId val="{00000001-C919-4A5C-B81F-F781671B47F7}"/>
            </c:ext>
          </c:extLst>
        </c:ser>
        <c:dLbls>
          <c:showLegendKey val="0"/>
          <c:showVal val="0"/>
          <c:showCatName val="0"/>
          <c:showSerName val="0"/>
          <c:showPercent val="0"/>
          <c:showBubbleSize val="0"/>
        </c:dLbls>
        <c:gapWidth val="219"/>
        <c:overlap val="-27"/>
        <c:axId val="1385927471"/>
        <c:axId val="977756623"/>
      </c:barChart>
      <c:catAx>
        <c:axId val="138592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756623"/>
        <c:crosses val="autoZero"/>
        <c:auto val="1"/>
        <c:lblAlgn val="ctr"/>
        <c:lblOffset val="100"/>
        <c:noMultiLvlLbl val="0"/>
      </c:catAx>
      <c:valAx>
        <c:axId val="977756623"/>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27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11-43B2-88F8-EFF955177C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11-43B2-88F8-EFF955177C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11-43B2-88F8-EFF955177C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E11-43B2-88F8-EFF955177C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E11-43B2-88F8-EFF955177CA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E11-43B2-88F8-EFF955177CA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Dashboard!$B$14:$B$19</c:f>
              <c:strCache>
                <c:ptCount val="6"/>
                <c:pt idx="0">
                  <c:v>Travel</c:v>
                </c:pt>
                <c:pt idx="1">
                  <c:v>Infrastructure</c:v>
                </c:pt>
                <c:pt idx="2">
                  <c:v>Salaries</c:v>
                </c:pt>
                <c:pt idx="3">
                  <c:v>Utilities</c:v>
                </c:pt>
                <c:pt idx="4">
                  <c:v>Marketing Spend</c:v>
                </c:pt>
                <c:pt idx="5">
                  <c:v>Training</c:v>
                </c:pt>
              </c:strCache>
            </c:strRef>
          </c:cat>
          <c:val>
            <c:numRef>
              <c:f>Dashboard!$D$14:$D$19</c:f>
              <c:numCache>
                <c:formatCode>_(* #,##0_);_(* \(#,##0\);_(* "-"_);_(@_)</c:formatCode>
                <c:ptCount val="6"/>
                <c:pt idx="0">
                  <c:v>13113</c:v>
                </c:pt>
                <c:pt idx="1">
                  <c:v>78894</c:v>
                </c:pt>
                <c:pt idx="2">
                  <c:v>326577</c:v>
                </c:pt>
                <c:pt idx="3">
                  <c:v>22137</c:v>
                </c:pt>
                <c:pt idx="4">
                  <c:v>43825</c:v>
                </c:pt>
                <c:pt idx="5">
                  <c:v>15353</c:v>
                </c:pt>
              </c:numCache>
            </c:numRef>
          </c:val>
          <c:extLst>
            <c:ext xmlns:c16="http://schemas.microsoft.com/office/drawing/2014/chart" uri="{C3380CC4-5D6E-409C-BE32-E72D297353CC}">
              <c16:uniqueId val="{00000000-CF28-4E97-9971-A2444C11103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13</xdr:col>
      <xdr:colOff>369794</xdr:colOff>
      <xdr:row>6</xdr:row>
      <xdr:rowOff>145677</xdr:rowOff>
    </xdr:from>
    <xdr:to>
      <xdr:col>25</xdr:col>
      <xdr:colOff>44824</xdr:colOff>
      <xdr:row>21</xdr:row>
      <xdr:rowOff>78440</xdr:rowOff>
    </xdr:to>
    <xdr:sp macro="" textlink="">
      <xdr:nvSpPr>
        <xdr:cNvPr id="20" name="Rectangle 19">
          <a:extLst>
            <a:ext uri="{FF2B5EF4-FFF2-40B4-BE49-F238E27FC236}">
              <a16:creationId xmlns:a16="http://schemas.microsoft.com/office/drawing/2014/main" id="{BBF9C09F-F89E-431C-9646-F6D5BD02AA27}"/>
            </a:ext>
          </a:extLst>
        </xdr:cNvPr>
        <xdr:cNvSpPr/>
      </xdr:nvSpPr>
      <xdr:spPr>
        <a:xfrm>
          <a:off x="8236323" y="1288677"/>
          <a:ext cx="6936442" cy="2790263"/>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ysClr val="windowText" lastClr="000000"/>
            </a:solidFill>
          </a:endParaRPr>
        </a:p>
        <a:p>
          <a:pPr algn="l"/>
          <a:endParaRPr lang="en-CA" sz="1100">
            <a:solidFill>
              <a:sysClr val="windowText" lastClr="000000"/>
            </a:solidFill>
          </a:endParaRPr>
        </a:p>
      </xdr:txBody>
    </xdr:sp>
    <xdr:clientData/>
  </xdr:twoCellAnchor>
  <xdr:twoCellAnchor>
    <xdr:from>
      <xdr:col>0</xdr:col>
      <xdr:colOff>57150</xdr:colOff>
      <xdr:row>0</xdr:row>
      <xdr:rowOff>95249</xdr:rowOff>
    </xdr:from>
    <xdr:to>
      <xdr:col>4</xdr:col>
      <xdr:colOff>0</xdr:colOff>
      <xdr:row>21</xdr:row>
      <xdr:rowOff>168088</xdr:rowOff>
    </xdr:to>
    <xdr:sp macro="" textlink="">
      <xdr:nvSpPr>
        <xdr:cNvPr id="2" name="Rectangle 1">
          <a:extLst>
            <a:ext uri="{FF2B5EF4-FFF2-40B4-BE49-F238E27FC236}">
              <a16:creationId xmlns:a16="http://schemas.microsoft.com/office/drawing/2014/main" id="{B96B65ED-AAAE-3FF2-54DA-B5402FD02D59}"/>
            </a:ext>
          </a:extLst>
        </xdr:cNvPr>
        <xdr:cNvSpPr/>
      </xdr:nvSpPr>
      <xdr:spPr>
        <a:xfrm>
          <a:off x="57150" y="95249"/>
          <a:ext cx="2363321" cy="4073339"/>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100">
              <a:solidFill>
                <a:sysClr val="windowText" lastClr="000000"/>
              </a:solidFill>
            </a:rPr>
            <a:t>Slicers add </a:t>
          </a:r>
        </a:p>
        <a:p>
          <a:pPr algn="l"/>
          <a:r>
            <a:rPr lang="en-CA" sz="1100">
              <a:solidFill>
                <a:sysClr val="windowText" lastClr="000000"/>
              </a:solidFill>
            </a:rPr>
            <a:t>Filter per month here</a:t>
          </a:r>
        </a:p>
      </xdr:txBody>
    </xdr:sp>
    <xdr:clientData/>
  </xdr:twoCellAnchor>
  <xdr:twoCellAnchor>
    <xdr:from>
      <xdr:col>0</xdr:col>
      <xdr:colOff>76200</xdr:colOff>
      <xdr:row>22</xdr:row>
      <xdr:rowOff>44824</xdr:rowOff>
    </xdr:from>
    <xdr:to>
      <xdr:col>4</xdr:col>
      <xdr:colOff>19050</xdr:colOff>
      <xdr:row>37</xdr:row>
      <xdr:rowOff>44824</xdr:rowOff>
    </xdr:to>
    <xdr:sp macro="" textlink="">
      <xdr:nvSpPr>
        <xdr:cNvPr id="3" name="Rectangle 2">
          <a:extLst>
            <a:ext uri="{FF2B5EF4-FFF2-40B4-BE49-F238E27FC236}">
              <a16:creationId xmlns:a16="http://schemas.microsoft.com/office/drawing/2014/main" id="{D731A96A-17E0-469F-B521-2D07507246B3}"/>
            </a:ext>
          </a:extLst>
        </xdr:cNvPr>
        <xdr:cNvSpPr/>
      </xdr:nvSpPr>
      <xdr:spPr>
        <a:xfrm>
          <a:off x="76200" y="4235824"/>
          <a:ext cx="2363321" cy="28575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100">
              <a:solidFill>
                <a:sysClr val="windowText" lastClr="000000"/>
              </a:solidFill>
            </a:rPr>
            <a:t>Slicers</a:t>
          </a:r>
          <a:r>
            <a:rPr lang="en-CA" sz="1100" baseline="0">
              <a:solidFill>
                <a:sysClr val="windowText" lastClr="000000"/>
              </a:solidFill>
            </a:rPr>
            <a:t> add </a:t>
          </a:r>
        </a:p>
        <a:p>
          <a:pPr algn="l"/>
          <a:r>
            <a:rPr lang="en-CA" sz="1100" baseline="0">
              <a:solidFill>
                <a:sysClr val="windowText" lastClr="000000"/>
              </a:solidFill>
            </a:rPr>
            <a:t>Filter per financial type</a:t>
          </a:r>
          <a:endParaRPr lang="en-CA" sz="1100">
            <a:solidFill>
              <a:sysClr val="windowText" lastClr="000000"/>
            </a:solidFill>
          </a:endParaRPr>
        </a:p>
      </xdr:txBody>
    </xdr:sp>
    <xdr:clientData/>
  </xdr:twoCellAnchor>
  <xdr:twoCellAnchor>
    <xdr:from>
      <xdr:col>4</xdr:col>
      <xdr:colOff>71716</xdr:colOff>
      <xdr:row>0</xdr:row>
      <xdr:rowOff>95249</xdr:rowOff>
    </xdr:from>
    <xdr:to>
      <xdr:col>30</xdr:col>
      <xdr:colOff>90767</xdr:colOff>
      <xdr:row>50</xdr:row>
      <xdr:rowOff>56028</xdr:rowOff>
    </xdr:to>
    <xdr:sp macro="" textlink="">
      <xdr:nvSpPr>
        <xdr:cNvPr id="5" name="Rectangle 4">
          <a:extLst>
            <a:ext uri="{FF2B5EF4-FFF2-40B4-BE49-F238E27FC236}">
              <a16:creationId xmlns:a16="http://schemas.microsoft.com/office/drawing/2014/main" id="{DD4488F6-6BD9-4F20-8C3E-1279184CE151}"/>
            </a:ext>
          </a:extLst>
        </xdr:cNvPr>
        <xdr:cNvSpPr/>
      </xdr:nvSpPr>
      <xdr:spPr>
        <a:xfrm>
          <a:off x="2492187" y="95249"/>
          <a:ext cx="15752109" cy="9485779"/>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4</xdr:col>
      <xdr:colOff>114299</xdr:colOff>
      <xdr:row>0</xdr:row>
      <xdr:rowOff>180975</xdr:rowOff>
    </xdr:from>
    <xdr:to>
      <xdr:col>29</xdr:col>
      <xdr:colOff>414617</xdr:colOff>
      <xdr:row>6</xdr:row>
      <xdr:rowOff>38100</xdr:rowOff>
    </xdr:to>
    <xdr:sp macro="" textlink="">
      <xdr:nvSpPr>
        <xdr:cNvPr id="6" name="Rectangle: Rounded Corners 5">
          <a:extLst>
            <a:ext uri="{FF2B5EF4-FFF2-40B4-BE49-F238E27FC236}">
              <a16:creationId xmlns:a16="http://schemas.microsoft.com/office/drawing/2014/main" id="{7D4AE0A1-C78A-5CEF-3AC8-C5C899333DC1}"/>
            </a:ext>
          </a:extLst>
        </xdr:cNvPr>
        <xdr:cNvSpPr/>
      </xdr:nvSpPr>
      <xdr:spPr>
        <a:xfrm>
          <a:off x="2534770" y="180975"/>
          <a:ext cx="15428259" cy="100012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4800" b="1">
              <a:solidFill>
                <a:sysClr val="windowText" lastClr="000000"/>
              </a:solidFill>
            </a:rPr>
            <a:t>Budget</a:t>
          </a:r>
          <a:r>
            <a:rPr lang="en-CA" sz="4800" b="1" baseline="0">
              <a:solidFill>
                <a:sysClr val="windowText" lastClr="000000"/>
              </a:solidFill>
            </a:rPr>
            <a:t> vs. Actual Dashboard 2025</a:t>
          </a:r>
          <a:endParaRPr lang="en-CA" sz="4800" b="1"/>
        </a:p>
      </xdr:txBody>
    </xdr:sp>
    <xdr:clientData/>
  </xdr:twoCellAnchor>
  <xdr:twoCellAnchor>
    <xdr:from>
      <xdr:col>4</xdr:col>
      <xdr:colOff>123824</xdr:colOff>
      <xdr:row>6</xdr:row>
      <xdr:rowOff>134471</xdr:rowOff>
    </xdr:from>
    <xdr:to>
      <xdr:col>16</xdr:col>
      <xdr:colOff>201706</xdr:colOff>
      <xdr:row>13</xdr:row>
      <xdr:rowOff>123825</xdr:rowOff>
    </xdr:to>
    <xdr:sp macro="" textlink="">
      <xdr:nvSpPr>
        <xdr:cNvPr id="7" name="Rectangle: Rounded Corners 6">
          <a:extLst>
            <a:ext uri="{FF2B5EF4-FFF2-40B4-BE49-F238E27FC236}">
              <a16:creationId xmlns:a16="http://schemas.microsoft.com/office/drawing/2014/main" id="{6EDB3979-D86B-463E-AE9B-D82FA7FCE1FC}"/>
            </a:ext>
          </a:extLst>
        </xdr:cNvPr>
        <xdr:cNvSpPr/>
      </xdr:nvSpPr>
      <xdr:spPr>
        <a:xfrm>
          <a:off x="2544295" y="1277471"/>
          <a:ext cx="7339293" cy="1322854"/>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2800" b="1">
              <a:solidFill>
                <a:sysClr val="windowText" lastClr="000000"/>
              </a:solidFill>
            </a:rPr>
            <a:t>Total</a:t>
          </a:r>
          <a:r>
            <a:rPr lang="en-CA" sz="2800" b="1" baseline="0">
              <a:solidFill>
                <a:sysClr val="windowText" lastClr="000000"/>
              </a:solidFill>
            </a:rPr>
            <a:t> Actual Income </a:t>
          </a:r>
          <a:endParaRPr lang="en-CA" sz="2800" b="1">
            <a:solidFill>
              <a:sysClr val="windowText" lastClr="000000"/>
            </a:solidFill>
          </a:endParaRPr>
        </a:p>
      </xdr:txBody>
    </xdr:sp>
    <xdr:clientData/>
  </xdr:twoCellAnchor>
  <xdr:twoCellAnchor>
    <xdr:from>
      <xdr:col>4</xdr:col>
      <xdr:colOff>190497</xdr:colOff>
      <xdr:row>22</xdr:row>
      <xdr:rowOff>33618</xdr:rowOff>
    </xdr:from>
    <xdr:to>
      <xdr:col>16</xdr:col>
      <xdr:colOff>246529</xdr:colOff>
      <xdr:row>49</xdr:row>
      <xdr:rowOff>179294</xdr:rowOff>
    </xdr:to>
    <xdr:sp macro="" textlink="">
      <xdr:nvSpPr>
        <xdr:cNvPr id="10" name="Rectangle 9">
          <a:extLst>
            <a:ext uri="{FF2B5EF4-FFF2-40B4-BE49-F238E27FC236}">
              <a16:creationId xmlns:a16="http://schemas.microsoft.com/office/drawing/2014/main" id="{7C01E1C7-9122-43C8-BCF2-7153AEBC2E39}"/>
            </a:ext>
          </a:extLst>
        </xdr:cNvPr>
        <xdr:cNvSpPr/>
      </xdr:nvSpPr>
      <xdr:spPr>
        <a:xfrm>
          <a:off x="2610968" y="4224618"/>
          <a:ext cx="7317443" cy="5289176"/>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400" b="1">
              <a:solidFill>
                <a:sysClr val="windowText" lastClr="000000"/>
              </a:solidFill>
            </a:rPr>
            <a:t>Expense &amp;</a:t>
          </a:r>
          <a:r>
            <a:rPr lang="en-CA" sz="1400" b="1" baseline="0">
              <a:solidFill>
                <a:sysClr val="windowText" lastClr="000000"/>
              </a:solidFill>
            </a:rPr>
            <a:t> Income per category</a:t>
          </a:r>
          <a:r>
            <a:rPr lang="en-CA" sz="1400" b="1">
              <a:solidFill>
                <a:sysClr val="windowText" lastClr="000000"/>
              </a:solidFill>
            </a:rPr>
            <a:t>: Budget vs Actuals</a:t>
          </a:r>
          <a:r>
            <a:rPr lang="en-CA" sz="1400" b="1" baseline="0">
              <a:solidFill>
                <a:sysClr val="windowText" lastClr="000000"/>
              </a:solidFill>
            </a:rPr>
            <a:t> </a:t>
          </a:r>
          <a:endParaRPr lang="en-CA" sz="1400" b="1">
            <a:solidFill>
              <a:sysClr val="windowText" lastClr="000000"/>
            </a:solidFill>
          </a:endParaRPr>
        </a:p>
      </xdr:txBody>
    </xdr:sp>
    <xdr:clientData/>
  </xdr:twoCellAnchor>
  <xdr:twoCellAnchor>
    <xdr:from>
      <xdr:col>16</xdr:col>
      <xdr:colOff>307039</xdr:colOff>
      <xdr:row>22</xdr:row>
      <xdr:rowOff>44824</xdr:rowOff>
    </xdr:from>
    <xdr:to>
      <xdr:col>29</xdr:col>
      <xdr:colOff>493058</xdr:colOff>
      <xdr:row>49</xdr:row>
      <xdr:rowOff>168087</xdr:rowOff>
    </xdr:to>
    <xdr:sp macro="" textlink="">
      <xdr:nvSpPr>
        <xdr:cNvPr id="12" name="Rectangle 11">
          <a:extLst>
            <a:ext uri="{FF2B5EF4-FFF2-40B4-BE49-F238E27FC236}">
              <a16:creationId xmlns:a16="http://schemas.microsoft.com/office/drawing/2014/main" id="{37343453-F3C5-4DA7-8F25-F753FD3A8C6C}"/>
            </a:ext>
          </a:extLst>
        </xdr:cNvPr>
        <xdr:cNvSpPr/>
      </xdr:nvSpPr>
      <xdr:spPr>
        <a:xfrm>
          <a:off x="9988921" y="4235824"/>
          <a:ext cx="8052549" cy="5266763"/>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400" b="1">
              <a:solidFill>
                <a:sysClr val="windowText" lastClr="000000"/>
              </a:solidFill>
            </a:rPr>
            <a:t>Expense &amp; Income per region</a:t>
          </a:r>
        </a:p>
      </xdr:txBody>
    </xdr:sp>
    <xdr:clientData/>
  </xdr:twoCellAnchor>
  <xdr:twoCellAnchor>
    <xdr:from>
      <xdr:col>8</xdr:col>
      <xdr:colOff>392208</xdr:colOff>
      <xdr:row>10</xdr:row>
      <xdr:rowOff>44822</xdr:rowOff>
    </xdr:from>
    <xdr:to>
      <xdr:col>11</xdr:col>
      <xdr:colOff>425825</xdr:colOff>
      <xdr:row>13</xdr:row>
      <xdr:rowOff>78439</xdr:rowOff>
    </xdr:to>
    <xdr:sp macro="" textlink="revenue">
      <xdr:nvSpPr>
        <xdr:cNvPr id="16" name="TextBox 15">
          <a:extLst>
            <a:ext uri="{FF2B5EF4-FFF2-40B4-BE49-F238E27FC236}">
              <a16:creationId xmlns:a16="http://schemas.microsoft.com/office/drawing/2014/main" id="{6A237BD6-9A77-83A9-25C9-3BDF7F748A89}"/>
            </a:ext>
          </a:extLst>
        </xdr:cNvPr>
        <xdr:cNvSpPr txBox="1"/>
      </xdr:nvSpPr>
      <xdr:spPr>
        <a:xfrm>
          <a:off x="5233149" y="1949822"/>
          <a:ext cx="1848970" cy="6051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2BACCD7-9CE6-40FA-8D10-46D7BF7FA587}" type="TxLink">
            <a:rPr lang="en-US" sz="2400" b="1" i="0" u="none" strike="noStrike">
              <a:solidFill>
                <a:srgbClr val="000000"/>
              </a:solidFill>
              <a:latin typeface="Calibri"/>
              <a:ea typeface="Calibri"/>
              <a:cs typeface="Calibri"/>
            </a:rPr>
            <a:t>$499,899</a:t>
          </a:fld>
          <a:endParaRPr lang="en-US" sz="2400" b="1"/>
        </a:p>
      </xdr:txBody>
    </xdr:sp>
    <xdr:clientData/>
  </xdr:twoCellAnchor>
  <xdr:twoCellAnchor>
    <xdr:from>
      <xdr:col>4</xdr:col>
      <xdr:colOff>134469</xdr:colOff>
      <xdr:row>14</xdr:row>
      <xdr:rowOff>61633</xdr:rowOff>
    </xdr:from>
    <xdr:to>
      <xdr:col>16</xdr:col>
      <xdr:colOff>190499</xdr:colOff>
      <xdr:row>21</xdr:row>
      <xdr:rowOff>50987</xdr:rowOff>
    </xdr:to>
    <xdr:sp macro="" textlink="">
      <xdr:nvSpPr>
        <xdr:cNvPr id="17" name="Rectangle: Rounded Corners 16">
          <a:extLst>
            <a:ext uri="{FF2B5EF4-FFF2-40B4-BE49-F238E27FC236}">
              <a16:creationId xmlns:a16="http://schemas.microsoft.com/office/drawing/2014/main" id="{B6654857-0359-4FB7-82C2-A4E77CF06F5D}"/>
            </a:ext>
          </a:extLst>
        </xdr:cNvPr>
        <xdr:cNvSpPr/>
      </xdr:nvSpPr>
      <xdr:spPr>
        <a:xfrm>
          <a:off x="2554940" y="2728633"/>
          <a:ext cx="7317441" cy="1322854"/>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2800" b="1">
              <a:solidFill>
                <a:sysClr val="windowText" lastClr="000000"/>
              </a:solidFill>
            </a:rPr>
            <a:t>Total</a:t>
          </a:r>
          <a:r>
            <a:rPr lang="en-CA" sz="2800" b="1" baseline="0">
              <a:solidFill>
                <a:sysClr val="windowText" lastClr="000000"/>
              </a:solidFill>
            </a:rPr>
            <a:t> Actual Expense</a:t>
          </a:r>
          <a:endParaRPr lang="en-CA" sz="2800" b="1">
            <a:solidFill>
              <a:sysClr val="windowText" lastClr="000000"/>
            </a:solidFill>
          </a:endParaRPr>
        </a:p>
      </xdr:txBody>
    </xdr:sp>
    <xdr:clientData/>
  </xdr:twoCellAnchor>
  <xdr:twoCellAnchor>
    <xdr:from>
      <xdr:col>9</xdr:col>
      <xdr:colOff>33618</xdr:colOff>
      <xdr:row>17</xdr:row>
      <xdr:rowOff>168089</xdr:rowOff>
    </xdr:from>
    <xdr:to>
      <xdr:col>11</xdr:col>
      <xdr:colOff>179294</xdr:colOff>
      <xdr:row>20</xdr:row>
      <xdr:rowOff>44824</xdr:rowOff>
    </xdr:to>
    <xdr:sp macro="" textlink="expense">
      <xdr:nvSpPr>
        <xdr:cNvPr id="18" name="TextBox 17">
          <a:extLst>
            <a:ext uri="{FF2B5EF4-FFF2-40B4-BE49-F238E27FC236}">
              <a16:creationId xmlns:a16="http://schemas.microsoft.com/office/drawing/2014/main" id="{79A94E4B-78BD-0622-2A7B-F8814A00FE4C}"/>
            </a:ext>
          </a:extLst>
        </xdr:cNvPr>
        <xdr:cNvSpPr txBox="1"/>
      </xdr:nvSpPr>
      <xdr:spPr>
        <a:xfrm>
          <a:off x="5479677" y="3406589"/>
          <a:ext cx="1355911" cy="4482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0418BE-C484-4F68-BE34-65A1D6C6F8C6}" type="TxLink">
            <a:rPr lang="en-US" sz="2400" b="1" i="0" u="none" strike="noStrike">
              <a:solidFill>
                <a:srgbClr val="000000"/>
              </a:solidFill>
              <a:latin typeface="Calibri"/>
              <a:ea typeface="Calibri"/>
              <a:cs typeface="Calibri"/>
            </a:rPr>
            <a:t>$499,899</a:t>
          </a:fld>
          <a:endParaRPr lang="en-CA" sz="2400" b="1"/>
        </a:p>
      </xdr:txBody>
    </xdr:sp>
    <xdr:clientData/>
  </xdr:twoCellAnchor>
  <xdr:twoCellAnchor>
    <xdr:from>
      <xdr:col>16</xdr:col>
      <xdr:colOff>313764</xdr:colOff>
      <xdr:row>6</xdr:row>
      <xdr:rowOff>168088</xdr:rowOff>
    </xdr:from>
    <xdr:to>
      <xdr:col>29</xdr:col>
      <xdr:colOff>515469</xdr:colOff>
      <xdr:row>21</xdr:row>
      <xdr:rowOff>100853</xdr:rowOff>
    </xdr:to>
    <xdr:sp macro="" textlink="">
      <xdr:nvSpPr>
        <xdr:cNvPr id="21" name="Rectangle 20">
          <a:extLst>
            <a:ext uri="{FF2B5EF4-FFF2-40B4-BE49-F238E27FC236}">
              <a16:creationId xmlns:a16="http://schemas.microsoft.com/office/drawing/2014/main" id="{0550DD12-DF55-48FB-A618-53701AA25996}"/>
            </a:ext>
          </a:extLst>
        </xdr:cNvPr>
        <xdr:cNvSpPr/>
      </xdr:nvSpPr>
      <xdr:spPr>
        <a:xfrm>
          <a:off x="9995646" y="1311088"/>
          <a:ext cx="8068235" cy="279026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400" b="1">
              <a:solidFill>
                <a:sysClr val="windowText" lastClr="000000"/>
              </a:solidFill>
            </a:rPr>
            <a:t>Expense &amp; Income</a:t>
          </a:r>
          <a:r>
            <a:rPr lang="en-CA" sz="1400" b="1" baseline="0">
              <a:solidFill>
                <a:sysClr val="windowText" lastClr="000000"/>
              </a:solidFill>
            </a:rPr>
            <a:t> </a:t>
          </a:r>
          <a:r>
            <a:rPr lang="en-CA" sz="1400" b="1">
              <a:solidFill>
                <a:sysClr val="windowText" lastClr="000000"/>
              </a:solidFill>
            </a:rPr>
            <a:t>per month</a:t>
          </a:r>
        </a:p>
      </xdr:txBody>
    </xdr:sp>
    <xdr:clientData/>
  </xdr:twoCellAnchor>
  <xdr:twoCellAnchor>
    <xdr:from>
      <xdr:col>16</xdr:col>
      <xdr:colOff>537882</xdr:colOff>
      <xdr:row>9</xdr:row>
      <xdr:rowOff>22412</xdr:rowOff>
    </xdr:from>
    <xdr:to>
      <xdr:col>29</xdr:col>
      <xdr:colOff>392204</xdr:colOff>
      <xdr:row>21</xdr:row>
      <xdr:rowOff>22412</xdr:rowOff>
    </xdr:to>
    <xdr:graphicFrame macro="">
      <xdr:nvGraphicFramePr>
        <xdr:cNvPr id="19" name="Chart 18">
          <a:extLst>
            <a:ext uri="{FF2B5EF4-FFF2-40B4-BE49-F238E27FC236}">
              <a16:creationId xmlns:a16="http://schemas.microsoft.com/office/drawing/2014/main" id="{712B23F8-02E6-4192-ACA3-2DD1D0BC2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89646</xdr:colOff>
      <xdr:row>37</xdr:row>
      <xdr:rowOff>89647</xdr:rowOff>
    </xdr:from>
    <xdr:to>
      <xdr:col>4</xdr:col>
      <xdr:colOff>32496</xdr:colOff>
      <xdr:row>50</xdr:row>
      <xdr:rowOff>56029</xdr:rowOff>
    </xdr:to>
    <xdr:sp macro="" textlink="">
      <xdr:nvSpPr>
        <xdr:cNvPr id="22" name="Rectangle 21">
          <a:extLst>
            <a:ext uri="{FF2B5EF4-FFF2-40B4-BE49-F238E27FC236}">
              <a16:creationId xmlns:a16="http://schemas.microsoft.com/office/drawing/2014/main" id="{BF7C721C-E1A8-4817-9251-A2499B075C8C}"/>
            </a:ext>
          </a:extLst>
        </xdr:cNvPr>
        <xdr:cNvSpPr/>
      </xdr:nvSpPr>
      <xdr:spPr>
        <a:xfrm>
          <a:off x="89646" y="7138147"/>
          <a:ext cx="2363321" cy="2442882"/>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100">
              <a:solidFill>
                <a:sysClr val="windowText" lastClr="000000"/>
              </a:solidFill>
            </a:rPr>
            <a:t>Slicers</a:t>
          </a:r>
          <a:r>
            <a:rPr lang="en-CA" sz="1100" baseline="0">
              <a:solidFill>
                <a:sysClr val="windowText" lastClr="000000"/>
              </a:solidFill>
            </a:rPr>
            <a:t> add </a:t>
          </a:r>
        </a:p>
        <a:p>
          <a:pPr algn="l"/>
          <a:r>
            <a:rPr lang="en-CA" sz="1100" baseline="0">
              <a:solidFill>
                <a:sysClr val="windowText" lastClr="000000"/>
              </a:solidFill>
            </a:rPr>
            <a:t>Filter per region</a:t>
          </a:r>
          <a:endParaRPr lang="en-CA" sz="1100">
            <a:solidFill>
              <a:sysClr val="windowText" lastClr="000000"/>
            </a:solidFill>
          </a:endParaRPr>
        </a:p>
      </xdr:txBody>
    </xdr:sp>
    <xdr:clientData/>
  </xdr:twoCellAnchor>
  <xdr:twoCellAnchor>
    <xdr:from>
      <xdr:col>16</xdr:col>
      <xdr:colOff>430304</xdr:colOff>
      <xdr:row>23</xdr:row>
      <xdr:rowOff>156883</xdr:rowOff>
    </xdr:from>
    <xdr:to>
      <xdr:col>29</xdr:col>
      <xdr:colOff>381000</xdr:colOff>
      <xdr:row>49</xdr:row>
      <xdr:rowOff>78441</xdr:rowOff>
    </xdr:to>
    <xdr:graphicFrame macro="">
      <xdr:nvGraphicFramePr>
        <xdr:cNvPr id="27" name="Chart 26">
          <a:extLst>
            <a:ext uri="{FF2B5EF4-FFF2-40B4-BE49-F238E27FC236}">
              <a16:creationId xmlns:a16="http://schemas.microsoft.com/office/drawing/2014/main" id="{D3B02208-BD04-42D8-9C18-44471A90E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78441</xdr:colOff>
      <xdr:row>0</xdr:row>
      <xdr:rowOff>100852</xdr:rowOff>
    </xdr:from>
    <xdr:to>
      <xdr:col>4</xdr:col>
      <xdr:colOff>-1</xdr:colOff>
      <xdr:row>21</xdr:row>
      <xdr:rowOff>156881</xdr:rowOff>
    </xdr:to>
    <mc:AlternateContent xmlns:mc="http://schemas.openxmlformats.org/markup-compatibility/2006" xmlns:a14="http://schemas.microsoft.com/office/drawing/2010/main">
      <mc:Choice Requires="a14">
        <xdr:graphicFrame macro="">
          <xdr:nvGraphicFramePr>
            <xdr:cNvPr id="29" name="Month">
              <a:extLst>
                <a:ext uri="{FF2B5EF4-FFF2-40B4-BE49-F238E27FC236}">
                  <a16:creationId xmlns:a16="http://schemas.microsoft.com/office/drawing/2014/main" id="{5B01296B-6AB7-4E54-B3D4-26110B31C79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8441" y="100852"/>
              <a:ext cx="2342029" cy="405652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112058</xdr:colOff>
      <xdr:row>37</xdr:row>
      <xdr:rowOff>100854</xdr:rowOff>
    </xdr:from>
    <xdr:to>
      <xdr:col>4</xdr:col>
      <xdr:colOff>33617</xdr:colOff>
      <xdr:row>50</xdr:row>
      <xdr:rowOff>44824</xdr:rowOff>
    </xdr:to>
    <mc:AlternateContent xmlns:mc="http://schemas.openxmlformats.org/markup-compatibility/2006" xmlns:a14="http://schemas.microsoft.com/office/drawing/2010/main">
      <mc:Choice Requires="a14">
        <xdr:graphicFrame macro="">
          <xdr:nvGraphicFramePr>
            <xdr:cNvPr id="30" name="Region">
              <a:extLst>
                <a:ext uri="{FF2B5EF4-FFF2-40B4-BE49-F238E27FC236}">
                  <a16:creationId xmlns:a16="http://schemas.microsoft.com/office/drawing/2014/main" id="{E72C5DE2-3D7D-4E7D-B238-C5FD84478C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2058" y="7149354"/>
              <a:ext cx="2342030" cy="242047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78442</xdr:colOff>
      <xdr:row>22</xdr:row>
      <xdr:rowOff>67234</xdr:rowOff>
    </xdr:from>
    <xdr:to>
      <xdr:col>4</xdr:col>
      <xdr:colOff>11205</xdr:colOff>
      <xdr:row>37</xdr:row>
      <xdr:rowOff>33617</xdr:rowOff>
    </xdr:to>
    <mc:AlternateContent xmlns:mc="http://schemas.openxmlformats.org/markup-compatibility/2006" xmlns:a14="http://schemas.microsoft.com/office/drawing/2010/main">
      <mc:Choice Requires="a14">
        <xdr:graphicFrame macro="">
          <xdr:nvGraphicFramePr>
            <xdr:cNvPr id="31" name="Financial Type">
              <a:extLst>
                <a:ext uri="{FF2B5EF4-FFF2-40B4-BE49-F238E27FC236}">
                  <a16:creationId xmlns:a16="http://schemas.microsoft.com/office/drawing/2014/main" id="{4026B5EE-983E-4CEE-811C-532BE63A980E}"/>
                </a:ext>
              </a:extLst>
            </xdr:cNvPr>
            <xdr:cNvGraphicFramePr/>
          </xdr:nvGraphicFramePr>
          <xdr:xfrm>
            <a:off x="0" y="0"/>
            <a:ext cx="0" cy="0"/>
          </xdr:xfrm>
          <a:graphic>
            <a:graphicData uri="http://schemas.microsoft.com/office/drawing/2010/slicer">
              <sle:slicer xmlns:sle="http://schemas.microsoft.com/office/drawing/2010/slicer" name="Financial Type"/>
            </a:graphicData>
          </a:graphic>
        </xdr:graphicFrame>
      </mc:Choice>
      <mc:Fallback xmlns="">
        <xdr:sp macro="" textlink="">
          <xdr:nvSpPr>
            <xdr:cNvPr id="0" name=""/>
            <xdr:cNvSpPr>
              <a:spLocks noTextEdit="1"/>
            </xdr:cNvSpPr>
          </xdr:nvSpPr>
          <xdr:spPr>
            <a:xfrm>
              <a:off x="78442" y="4258234"/>
              <a:ext cx="2353234" cy="282388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190496</xdr:colOff>
      <xdr:row>24</xdr:row>
      <xdr:rowOff>134469</xdr:rowOff>
    </xdr:from>
    <xdr:to>
      <xdr:col>10</xdr:col>
      <xdr:colOff>156883</xdr:colOff>
      <xdr:row>49</xdr:row>
      <xdr:rowOff>112058</xdr:rowOff>
    </xdr:to>
    <xdr:graphicFrame macro="">
      <xdr:nvGraphicFramePr>
        <xdr:cNvPr id="4" name="Chart 3">
          <a:extLst>
            <a:ext uri="{FF2B5EF4-FFF2-40B4-BE49-F238E27FC236}">
              <a16:creationId xmlns:a16="http://schemas.microsoft.com/office/drawing/2014/main" id="{7C2DE2FD-0029-4E04-9401-319B753CD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224118</xdr:colOff>
      <xdr:row>24</xdr:row>
      <xdr:rowOff>123265</xdr:rowOff>
    </xdr:from>
    <xdr:to>
      <xdr:col>16</xdr:col>
      <xdr:colOff>201705</xdr:colOff>
      <xdr:row>49</xdr:row>
      <xdr:rowOff>100853</xdr:rowOff>
    </xdr:to>
    <xdr:graphicFrame macro="">
      <xdr:nvGraphicFramePr>
        <xdr:cNvPr id="8" name="Chart 7">
          <a:extLst>
            <a:ext uri="{FF2B5EF4-FFF2-40B4-BE49-F238E27FC236}">
              <a16:creationId xmlns:a16="http://schemas.microsoft.com/office/drawing/2014/main" id="{639290EE-C2C9-4FD5-813B-2540AE428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609599</xdr:colOff>
      <xdr:row>7</xdr:row>
      <xdr:rowOff>90486</xdr:rowOff>
    </xdr:from>
    <xdr:to>
      <xdr:col>13</xdr:col>
      <xdr:colOff>581024</xdr:colOff>
      <xdr:row>22</xdr:row>
      <xdr:rowOff>19049</xdr:rowOff>
    </xdr:to>
    <xdr:graphicFrame macro="">
      <xdr:nvGraphicFramePr>
        <xdr:cNvPr id="7" name="Chart 6">
          <a:extLst>
            <a:ext uri="{FF2B5EF4-FFF2-40B4-BE49-F238E27FC236}">
              <a16:creationId xmlns:a16="http://schemas.microsoft.com/office/drawing/2014/main" id="{22B74BBC-5019-859F-2863-178C6AE17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176212</xdr:colOff>
      <xdr:row>7</xdr:row>
      <xdr:rowOff>85725</xdr:rowOff>
    </xdr:from>
    <xdr:to>
      <xdr:col>22</xdr:col>
      <xdr:colOff>142875</xdr:colOff>
      <xdr:row>21</xdr:row>
      <xdr:rowOff>57151</xdr:rowOff>
    </xdr:to>
    <xdr:graphicFrame macro="">
      <xdr:nvGraphicFramePr>
        <xdr:cNvPr id="8" name="Chart 7">
          <a:extLst>
            <a:ext uri="{FF2B5EF4-FFF2-40B4-BE49-F238E27FC236}">
              <a16:creationId xmlns:a16="http://schemas.microsoft.com/office/drawing/2014/main" id="{A10B5814-41BA-23C1-408B-411EBFC458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nise Chew" refreshedDate="46273.535519907404" createdVersion="8" refreshedVersion="8" minRefreshableVersion="3" recordCount="201" xr:uid="{BAC7D0F0-3E61-4E78-9099-3808ADDFC2FA}">
  <cacheSource type="worksheet">
    <worksheetSource ref="A1:J202" sheet="Clean Ledger Data"/>
  </cacheSource>
  <cacheFields count="10">
    <cacheField name="Date" numFmtId="0">
      <sharedItems/>
    </cacheField>
    <cacheField name="Month" numFmtId="0">
      <sharedItems count="12">
        <s v="January"/>
        <s v="February"/>
        <s v="March"/>
        <s v="April"/>
        <s v="May"/>
        <s v="June"/>
        <s v="July"/>
        <s v="August"/>
        <s v="September"/>
        <s v="October"/>
        <s v="November"/>
        <s v="December"/>
      </sharedItems>
    </cacheField>
    <cacheField name="Department" numFmtId="0">
      <sharedItems/>
    </cacheField>
    <cacheField name="Category" numFmtId="0">
      <sharedItems count="8">
        <s v="Salaries"/>
        <s v="Utilities"/>
        <s v="Infrastructure"/>
        <s v="Marketing Spend"/>
        <s v="Travel"/>
        <s v="Training"/>
        <s v="Product Revenue"/>
        <s v="Service Revenue"/>
      </sharedItems>
    </cacheField>
    <cacheField name="Region" numFmtId="0">
      <sharedItems count="5">
        <s v="South"/>
        <s v="Central"/>
        <s v="East"/>
        <s v="West"/>
        <s v="North"/>
      </sharedItems>
    </cacheField>
    <cacheField name="Budget Amount" numFmtId="165">
      <sharedItems containsSemiMixedTypes="0" containsString="0" containsNumber="1" containsInteger="1" minValue="5936" maxValue="176350" count="201">
        <n v="55476"/>
        <n v="49012"/>
        <n v="56087"/>
        <n v="46424"/>
        <n v="45488"/>
        <n v="53279"/>
        <n v="38462"/>
        <n v="34309"/>
        <n v="26149"/>
        <n v="27449"/>
        <n v="16955"/>
        <n v="18588"/>
        <n v="109116"/>
        <n v="130512"/>
        <n v="147819"/>
        <n v="109358"/>
        <n v="70294"/>
        <n v="56216"/>
        <n v="48752"/>
        <n v="51572"/>
        <n v="59960"/>
        <n v="48483"/>
        <n v="59494"/>
        <n v="23679"/>
        <n v="44419"/>
        <n v="31696"/>
        <n v="40954"/>
        <n v="12668"/>
        <n v="13797"/>
        <n v="156985"/>
        <n v="166542"/>
        <n v="120032"/>
        <n v="72021"/>
        <n v="55692"/>
        <n v="46403"/>
        <n v="57461"/>
        <n v="47103"/>
        <n v="47705"/>
        <n v="51932"/>
        <n v="57374"/>
        <n v="28074"/>
        <n v="44478"/>
        <n v="26078"/>
        <n v="17326"/>
        <n v="19084"/>
        <n v="8510"/>
        <n v="161993"/>
        <n v="156498"/>
        <n v="43972"/>
        <n v="49073"/>
        <n v="52350"/>
        <n v="49563"/>
        <n v="52260"/>
        <n v="46604"/>
        <n v="58697"/>
        <n v="20449"/>
        <n v="20394"/>
        <n v="28861"/>
        <n v="20072"/>
        <n v="5936"/>
        <n v="110500"/>
        <n v="130828"/>
        <n v="110745"/>
        <n v="134179"/>
        <n v="65938"/>
        <n v="60720"/>
        <n v="52508"/>
        <n v="46638"/>
        <n v="53288"/>
        <n v="59432"/>
        <n v="51054"/>
        <n v="58660"/>
        <n v="36884"/>
        <n v="18782"/>
        <n v="23924"/>
        <n v="31561"/>
        <n v="42176"/>
        <n v="9291"/>
        <n v="6832"/>
        <n v="176350"/>
        <n v="140404"/>
        <n v="132706"/>
        <n v="55514"/>
        <n v="45406"/>
        <n v="57818"/>
        <n v="49371"/>
        <n v="51267"/>
        <n v="48644"/>
        <n v="50728"/>
        <n v="15775"/>
        <n v="40340"/>
        <n v="15904"/>
        <n v="16253"/>
        <n v="13379"/>
        <n v="100221"/>
        <n v="156531"/>
        <n v="116334"/>
        <n v="61376"/>
        <n v="52572"/>
        <n v="55084"/>
        <n v="53977"/>
        <n v="49700"/>
        <n v="54939"/>
        <n v="52238"/>
        <n v="53375"/>
        <n v="24299"/>
        <n v="41818"/>
        <n v="19828"/>
        <n v="19518"/>
        <n v="7417"/>
        <n v="123053"/>
        <n v="106582"/>
        <n v="74808"/>
        <n v="69004"/>
        <n v="58608"/>
        <n v="59699"/>
        <n v="52373"/>
        <n v="58760"/>
        <n v="52939"/>
        <n v="52206"/>
        <n v="23903"/>
        <n v="22577"/>
        <n v="28356"/>
        <n v="21777"/>
        <n v="17543"/>
        <n v="154921"/>
        <n v="163993"/>
        <n v="150968"/>
        <n v="48364"/>
        <n v="65822"/>
        <n v="55530"/>
        <n v="47977"/>
        <n v="50363"/>
        <n v="50529"/>
        <n v="49558"/>
        <n v="49133"/>
        <n v="39544"/>
        <n v="39714"/>
        <n v="22816"/>
        <n v="9198"/>
        <n v="7683"/>
        <n v="175470"/>
        <n v="109961"/>
        <n v="139529"/>
        <n v="74913"/>
        <n v="73158"/>
        <n v="58473"/>
        <n v="50934"/>
        <n v="56588"/>
        <n v="57022"/>
        <n v="55091"/>
        <n v="57691"/>
        <n v="25561"/>
        <n v="22990"/>
        <n v="15940"/>
        <n v="21950"/>
        <n v="33212"/>
        <n v="38595"/>
        <n v="13041"/>
        <n v="131890"/>
        <n v="172544"/>
        <n v="146112"/>
        <n v="130217"/>
        <n v="52552"/>
        <n v="56871"/>
        <n v="54777"/>
        <n v="58641"/>
        <n v="50912"/>
        <n v="56600"/>
        <n v="45745"/>
        <n v="37852"/>
        <n v="43597"/>
        <n v="26164"/>
        <n v="18738"/>
        <n v="19971"/>
        <n v="6940"/>
        <n v="11232"/>
        <n v="174531"/>
        <n v="127659"/>
        <n v="122782"/>
        <n v="78916"/>
        <n v="58881"/>
        <n v="56262"/>
        <n v="57907"/>
        <n v="55832"/>
        <n v="51965"/>
        <n v="55610"/>
        <n v="58543"/>
        <n v="40972"/>
        <n v="19074"/>
        <n v="31399"/>
        <n v="39069"/>
        <n v="22501"/>
        <n v="16014"/>
        <n v="15674"/>
        <n v="164451"/>
        <n v="143687"/>
        <n v="153955"/>
        <n v="159614"/>
        <n v="73724"/>
        <n v="67082"/>
      </sharedItems>
    </cacheField>
    <cacheField name="Actual Amount" numFmtId="165">
      <sharedItems containsSemiMixedTypes="0" containsString="0" containsNumber="1" containsInteger="1" minValue="5149" maxValue="186901" count="200">
        <n v="54613"/>
        <n v="48469"/>
        <n v="56626"/>
        <n v="46592"/>
        <n v="44748"/>
        <n v="53496"/>
        <n v="40864"/>
        <n v="33264"/>
        <n v="25350"/>
        <n v="25367"/>
        <n v="17138"/>
        <n v="19889"/>
        <n v="104510"/>
        <n v="143211"/>
        <n v="144515"/>
        <n v="115214"/>
        <n v="73422"/>
        <n v="55820"/>
        <n v="49379"/>
        <n v="51092"/>
        <n v="61022"/>
        <n v="48784"/>
        <n v="60480"/>
        <n v="22137"/>
        <n v="46457"/>
        <n v="32437"/>
        <n v="43825"/>
        <n v="13113"/>
        <n v="15353"/>
        <n v="153356"/>
        <n v="184053"/>
        <n v="121660"/>
        <n v="70819"/>
        <n v="55126"/>
        <n v="46833"/>
        <n v="57536"/>
        <n v="47403"/>
        <n v="47256"/>
        <n v="52896"/>
        <n v="57901"/>
        <n v="32251"/>
        <n v="45785"/>
        <n v="23607"/>
        <n v="18659"/>
        <n v="18428"/>
        <n v="8839"/>
        <n v="176130"/>
        <n v="158099"/>
        <n v="46102"/>
        <n v="48467"/>
        <n v="51596"/>
        <n v="49488"/>
        <n v="52903"/>
        <n v="45766"/>
        <n v="57557"/>
        <n v="20481"/>
        <n v="20286"/>
        <n v="31000"/>
        <n v="19017"/>
        <n v="5149"/>
        <n v="120967"/>
        <n v="133266"/>
        <n v="113100"/>
        <n v="132129"/>
        <n v="66086"/>
        <n v="69095"/>
        <n v="52762"/>
        <n v="45841"/>
        <n v="52787"/>
        <n v="58406"/>
        <n v="50614"/>
        <n v="58761"/>
        <n v="40730"/>
        <n v="21081"/>
        <n v="23216"/>
        <n v="32259"/>
        <n v="40875"/>
        <n v="8422"/>
        <n v="5987"/>
        <n v="184096"/>
        <n v="142087"/>
        <n v="141116"/>
        <n v="62563"/>
        <n v="44823"/>
        <n v="58814"/>
        <n v="48697"/>
        <n v="52030"/>
        <n v="48059"/>
        <n v="50332"/>
        <n v="16800"/>
        <n v="39120"/>
        <n v="14772"/>
        <n v="15068"/>
        <n v="11913"/>
        <n v="104068"/>
        <n v="150566"/>
        <n v="124751"/>
        <n v="64347"/>
        <n v="55278"/>
        <n v="55236"/>
        <n v="54697"/>
        <n v="49123"/>
        <n v="52117"/>
        <n v="53317"/>
        <n v="25000"/>
        <n v="47588"/>
        <n v="17966"/>
        <n v="20892"/>
        <n v="8007"/>
        <n v="133721"/>
        <n v="111352"/>
        <n v="85875"/>
        <n v="74810"/>
        <n v="59561"/>
        <n v="58885"/>
        <n v="51868"/>
        <n v="59083"/>
        <n v="53207"/>
        <n v="51323"/>
        <n v="23519"/>
        <n v="22481"/>
        <n v="27866"/>
        <n v="24133"/>
        <n v="18446"/>
        <n v="161349"/>
        <n v="161910"/>
        <n v="152046"/>
        <n v="55460"/>
        <n v="71128"/>
        <n v="55371"/>
        <n v="47113"/>
        <n v="49782"/>
        <n v="51056"/>
        <n v="50057"/>
        <n v="49791"/>
        <n v="40922"/>
        <n v="36050"/>
        <n v="21254"/>
        <n v="10287"/>
        <n v="9124"/>
        <n v="186901"/>
        <n v="115531"/>
        <n v="152721"/>
        <n v="78870"/>
        <n v="79748"/>
        <n v="58450"/>
        <n v="51210"/>
        <n v="55802"/>
        <n v="57071"/>
        <n v="55770"/>
        <n v="57652"/>
        <n v="28447"/>
        <n v="25004"/>
        <n v="16315"/>
        <n v="21702"/>
        <n v="29975"/>
        <n v="38657"/>
        <n v="13130"/>
        <n v="132161"/>
        <n v="179490"/>
        <n v="156264"/>
        <n v="126377"/>
        <n v="53434"/>
        <n v="57074"/>
        <n v="54301"/>
        <n v="57923"/>
        <n v="50259"/>
        <n v="56677"/>
        <n v="46612"/>
        <n v="43000"/>
        <n v="39370"/>
        <n v="24753"/>
        <n v="20715"/>
        <n v="18718"/>
        <n v="7254"/>
        <n v="11318"/>
        <n v="184230"/>
        <n v="127019"/>
        <n v="128164"/>
        <n v="83641"/>
        <n v="64779"/>
        <n v="55662"/>
        <n v="58581"/>
        <n v="56510"/>
        <n v="51164"/>
        <n v="54829"/>
        <n v="57705"/>
        <n v="40025"/>
        <n v="19401"/>
        <n v="32497"/>
        <n v="38310"/>
        <n v="25661"/>
        <n v="18215"/>
        <n v="15748"/>
        <n v="183320"/>
        <n v="144345"/>
        <n v="164412"/>
        <n v="154022"/>
        <n v="82588"/>
        <n v="66358"/>
      </sharedItems>
    </cacheField>
    <cacheField name="Payment Method" numFmtId="0">
      <sharedItems/>
    </cacheField>
    <cacheField name="Transaction ID" numFmtId="0">
      <sharedItems/>
    </cacheField>
    <cacheField name="Financial Type" numFmtId="0">
      <sharedItems count="2">
        <s v="Expense"/>
        <s v="Income"/>
      </sharedItems>
    </cacheField>
  </cacheFields>
  <extLst>
    <ext xmlns:x14="http://schemas.microsoft.com/office/spreadsheetml/2009/9/main" uri="{725AE2AE-9491-48be-B2B4-4EB974FC3084}">
      <x14:pivotCacheDefinition pivotCacheId="112146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s v="2025-01-25 00:00:00"/>
    <x v="0"/>
    <s v="Operations"/>
    <x v="0"/>
    <x v="0"/>
    <x v="0"/>
    <x v="0"/>
    <s v="Bank Transfer"/>
    <s v="TXN100001"/>
    <x v="0"/>
  </r>
  <r>
    <s v="2025-01-25 00:00:00"/>
    <x v="0"/>
    <s v="Finance"/>
    <x v="0"/>
    <x v="1"/>
    <x v="1"/>
    <x v="1"/>
    <s v="Bank Transfer"/>
    <s v="TXN100002"/>
    <x v="0"/>
  </r>
  <r>
    <s v="2025-01-25 00:00:00"/>
    <x v="0"/>
    <s v="Marketing"/>
    <x v="0"/>
    <x v="2"/>
    <x v="2"/>
    <x v="2"/>
    <s v="Bank Transfer"/>
    <s v="TXN100003"/>
    <x v="0"/>
  </r>
  <r>
    <s v="2025-01-25 00:00:00"/>
    <x v="0"/>
    <s v="IT"/>
    <x v="0"/>
    <x v="1"/>
    <x v="3"/>
    <x v="3"/>
    <s v="Bank Transfer"/>
    <s v="TXN100004"/>
    <x v="0"/>
  </r>
  <r>
    <s v="2025-01-25 00:00:00"/>
    <x v="0"/>
    <s v="HR"/>
    <x v="0"/>
    <x v="3"/>
    <x v="4"/>
    <x v="4"/>
    <s v="Bank Transfer"/>
    <s v="TXN100005"/>
    <x v="0"/>
  </r>
  <r>
    <s v="2025-01-25 00:00:00"/>
    <x v="0"/>
    <s v="Sales"/>
    <x v="0"/>
    <x v="2"/>
    <x v="5"/>
    <x v="5"/>
    <s v="Bank Transfer"/>
    <s v="TXN100006"/>
    <x v="0"/>
  </r>
  <r>
    <s v="2025-01-10 00:00:00"/>
    <x v="0"/>
    <s v="HR"/>
    <x v="1"/>
    <x v="4"/>
    <x v="6"/>
    <x v="6"/>
    <s v="Card"/>
    <s v="TXN100007"/>
    <x v="0"/>
  </r>
  <r>
    <s v="2025-01-10 00:00:00"/>
    <x v="0"/>
    <s v="Operations"/>
    <x v="2"/>
    <x v="3"/>
    <x v="7"/>
    <x v="7"/>
    <s v="Cash"/>
    <s v="TXN100008"/>
    <x v="0"/>
  </r>
  <r>
    <s v="2025-01-10 00:00:00"/>
    <x v="0"/>
    <s v="Finance"/>
    <x v="2"/>
    <x v="0"/>
    <x v="8"/>
    <x v="8"/>
    <s v="Bank Transfer"/>
    <s v="TXN100009"/>
    <x v="0"/>
  </r>
  <r>
    <s v="2025-01-10 00:00:00"/>
    <x v="0"/>
    <s v="Marketing"/>
    <x v="3"/>
    <x v="2"/>
    <x v="9"/>
    <x v="9"/>
    <s v="UPI"/>
    <s v="TXN100010"/>
    <x v="0"/>
  </r>
  <r>
    <s v="2025-01-15 00:00:00"/>
    <x v="0"/>
    <s v="Operations"/>
    <x v="4"/>
    <x v="4"/>
    <x v="10"/>
    <x v="10"/>
    <s v="Bank Transfer"/>
    <s v="TXN100011"/>
    <x v="0"/>
  </r>
  <r>
    <s v="2025-01-15 00:00:00"/>
    <x v="0"/>
    <s v="Marketing"/>
    <x v="5"/>
    <x v="2"/>
    <x v="11"/>
    <x v="11"/>
    <s v="Card"/>
    <s v="TXN100012"/>
    <x v="0"/>
  </r>
  <r>
    <s v="2025-01-12 00:00:00"/>
    <x v="0"/>
    <s v="Sales"/>
    <x v="6"/>
    <x v="0"/>
    <x v="12"/>
    <x v="12"/>
    <s v="Bank Transfer"/>
    <s v="TXN100013"/>
    <x v="1"/>
  </r>
  <r>
    <s v="2025-01-12 00:00:00"/>
    <x v="0"/>
    <s v="Marketing"/>
    <x v="6"/>
    <x v="0"/>
    <x v="13"/>
    <x v="13"/>
    <s v="Cash"/>
    <s v="TXN100014"/>
    <x v="1"/>
  </r>
  <r>
    <s v="2025-01-12 00:00:00"/>
    <x v="0"/>
    <s v="Marketing"/>
    <x v="6"/>
    <x v="3"/>
    <x v="14"/>
    <x v="14"/>
    <s v="UPI"/>
    <s v="TXN100015"/>
    <x v="1"/>
  </r>
  <r>
    <s v="2025-01-12 00:00:00"/>
    <x v="0"/>
    <s v="Sales"/>
    <x v="6"/>
    <x v="2"/>
    <x v="15"/>
    <x v="15"/>
    <s v="Card"/>
    <s v="TXN100016"/>
    <x v="1"/>
  </r>
  <r>
    <s v="2025-01-20 00:00:00"/>
    <x v="0"/>
    <s v="Sales"/>
    <x v="7"/>
    <x v="2"/>
    <x v="16"/>
    <x v="16"/>
    <s v="Card"/>
    <s v="TXN100017"/>
    <x v="1"/>
  </r>
  <r>
    <s v="2025-02-25 00:00:00"/>
    <x v="1"/>
    <s v="Operations"/>
    <x v="0"/>
    <x v="1"/>
    <x v="17"/>
    <x v="17"/>
    <s v="Bank Transfer"/>
    <s v="TXN100018"/>
    <x v="0"/>
  </r>
  <r>
    <s v="2025-02-25 00:00:00"/>
    <x v="1"/>
    <s v="Finance"/>
    <x v="0"/>
    <x v="0"/>
    <x v="18"/>
    <x v="18"/>
    <s v="Bank Transfer"/>
    <s v="TXN100019"/>
    <x v="0"/>
  </r>
  <r>
    <s v="2025-02-25 00:00:00"/>
    <x v="1"/>
    <s v="Marketing"/>
    <x v="0"/>
    <x v="3"/>
    <x v="19"/>
    <x v="19"/>
    <s v="Bank Transfer"/>
    <s v="TXN100020"/>
    <x v="0"/>
  </r>
  <r>
    <s v="2025-02-25 00:00:00"/>
    <x v="1"/>
    <s v="IT"/>
    <x v="0"/>
    <x v="0"/>
    <x v="20"/>
    <x v="20"/>
    <s v="Bank Transfer"/>
    <s v="TXN100021"/>
    <x v="0"/>
  </r>
  <r>
    <s v="2025-02-25 00:00:00"/>
    <x v="1"/>
    <s v="HR"/>
    <x v="0"/>
    <x v="4"/>
    <x v="21"/>
    <x v="21"/>
    <s v="Bank Transfer"/>
    <s v="TXN100022"/>
    <x v="0"/>
  </r>
  <r>
    <s v="2025-02-25 00:00:00"/>
    <x v="1"/>
    <s v="Sales"/>
    <x v="0"/>
    <x v="4"/>
    <x v="22"/>
    <x v="22"/>
    <s v="Bank Transfer"/>
    <s v="TXN100023"/>
    <x v="0"/>
  </r>
  <r>
    <s v="2025-02-10 00:00:00"/>
    <x v="1"/>
    <s v="Sales"/>
    <x v="1"/>
    <x v="2"/>
    <x v="23"/>
    <x v="23"/>
    <s v="UPI"/>
    <s v="TXN100024"/>
    <x v="0"/>
  </r>
  <r>
    <s v="2025-02-10 00:00:00"/>
    <x v="1"/>
    <s v="Marketing"/>
    <x v="2"/>
    <x v="3"/>
    <x v="24"/>
    <x v="24"/>
    <s v="Card"/>
    <s v="TXN100025"/>
    <x v="0"/>
  </r>
  <r>
    <s v="2025-02-10 00:00:00"/>
    <x v="1"/>
    <s v="Operations"/>
    <x v="2"/>
    <x v="1"/>
    <x v="25"/>
    <x v="25"/>
    <s v="Card"/>
    <s v="TXN100026"/>
    <x v="0"/>
  </r>
  <r>
    <s v="2025-02-10 00:00:00"/>
    <x v="1"/>
    <s v="HR"/>
    <x v="3"/>
    <x v="1"/>
    <x v="26"/>
    <x v="26"/>
    <s v="Cash"/>
    <s v="TXN100027"/>
    <x v="0"/>
  </r>
  <r>
    <s v="2025-02-15 00:00:00"/>
    <x v="1"/>
    <s v="HR"/>
    <x v="4"/>
    <x v="1"/>
    <x v="27"/>
    <x v="27"/>
    <s v="Bank Transfer"/>
    <s v="TXN100028"/>
    <x v="0"/>
  </r>
  <r>
    <s v="2025-02-15 00:00:00"/>
    <x v="1"/>
    <s v="Sales"/>
    <x v="5"/>
    <x v="0"/>
    <x v="28"/>
    <x v="28"/>
    <s v="Bank Transfer"/>
    <s v="TXN100029"/>
    <x v="0"/>
  </r>
  <r>
    <s v="2025-02-12 00:00:00"/>
    <x v="1"/>
    <s v="Sales"/>
    <x v="6"/>
    <x v="0"/>
    <x v="29"/>
    <x v="29"/>
    <s v="Card"/>
    <s v="TXN100030"/>
    <x v="1"/>
  </r>
  <r>
    <s v="2025-02-12 00:00:00"/>
    <x v="1"/>
    <s v="Operations"/>
    <x v="6"/>
    <x v="0"/>
    <x v="30"/>
    <x v="30"/>
    <s v="Card"/>
    <s v="TXN100031"/>
    <x v="1"/>
  </r>
  <r>
    <s v="2025-02-12 00:00:00"/>
    <x v="1"/>
    <s v="Sales"/>
    <x v="6"/>
    <x v="2"/>
    <x v="31"/>
    <x v="31"/>
    <s v="Bank Transfer"/>
    <s v="TXN100032"/>
    <x v="1"/>
  </r>
  <r>
    <s v="2025-02-20 00:00:00"/>
    <x v="1"/>
    <s v="Sales"/>
    <x v="7"/>
    <x v="0"/>
    <x v="32"/>
    <x v="32"/>
    <s v="UPI"/>
    <s v="TXN100033"/>
    <x v="1"/>
  </r>
  <r>
    <s v="2025-02-20 00:00:00"/>
    <x v="1"/>
    <s v="Sales"/>
    <x v="7"/>
    <x v="2"/>
    <x v="33"/>
    <x v="33"/>
    <s v="Bank Transfer"/>
    <s v="TXN100034"/>
    <x v="1"/>
  </r>
  <r>
    <s v="2025-03-25 00:00:00"/>
    <x v="2"/>
    <s v="Operations"/>
    <x v="0"/>
    <x v="1"/>
    <x v="34"/>
    <x v="34"/>
    <s v="Bank Transfer"/>
    <s v="TXN100035"/>
    <x v="0"/>
  </r>
  <r>
    <s v="2025-03-25 00:00:00"/>
    <x v="2"/>
    <s v="Finance"/>
    <x v="0"/>
    <x v="3"/>
    <x v="35"/>
    <x v="35"/>
    <s v="Bank Transfer"/>
    <s v="TXN100036"/>
    <x v="0"/>
  </r>
  <r>
    <s v="2025-03-25 00:00:00"/>
    <x v="2"/>
    <s v="Marketing"/>
    <x v="0"/>
    <x v="2"/>
    <x v="36"/>
    <x v="36"/>
    <s v="Bank Transfer"/>
    <s v="TXN100037"/>
    <x v="0"/>
  </r>
  <r>
    <s v="2025-03-25 00:00:00"/>
    <x v="2"/>
    <s v="IT"/>
    <x v="0"/>
    <x v="2"/>
    <x v="37"/>
    <x v="37"/>
    <s v="Bank Transfer"/>
    <s v="TXN100038"/>
    <x v="0"/>
  </r>
  <r>
    <s v="2025-03-25 00:00:00"/>
    <x v="2"/>
    <s v="HR"/>
    <x v="0"/>
    <x v="2"/>
    <x v="38"/>
    <x v="38"/>
    <s v="Bank Transfer"/>
    <s v="TXN100039"/>
    <x v="0"/>
  </r>
  <r>
    <s v="2025-03-25 00:00:00"/>
    <x v="2"/>
    <s v="Sales"/>
    <x v="0"/>
    <x v="3"/>
    <x v="39"/>
    <x v="39"/>
    <s v="Bank Transfer"/>
    <s v="TXN100040"/>
    <x v="0"/>
  </r>
  <r>
    <s v="2025-03-10 00:00:00"/>
    <x v="2"/>
    <s v="Sales"/>
    <x v="1"/>
    <x v="0"/>
    <x v="40"/>
    <x v="40"/>
    <s v="Cash"/>
    <s v="TXN100041"/>
    <x v="0"/>
  </r>
  <r>
    <s v="2025-03-10 00:00:00"/>
    <x v="2"/>
    <s v="Operations"/>
    <x v="1"/>
    <x v="3"/>
    <x v="41"/>
    <x v="41"/>
    <s v="Card"/>
    <s v="TXN100042"/>
    <x v="0"/>
  </r>
  <r>
    <s v="2025-03-10 00:00:00"/>
    <x v="2"/>
    <s v="HR"/>
    <x v="2"/>
    <x v="3"/>
    <x v="42"/>
    <x v="42"/>
    <s v="Card"/>
    <s v="TXN100043"/>
    <x v="0"/>
  </r>
  <r>
    <s v="2025-03-10 00:00:00"/>
    <x v="2"/>
    <s v="Operations"/>
    <x v="3"/>
    <x v="3"/>
    <x v="43"/>
    <x v="43"/>
    <s v="Bank Transfer"/>
    <s v="TXN100044"/>
    <x v="0"/>
  </r>
  <r>
    <s v="2025-03-15 00:00:00"/>
    <x v="2"/>
    <s v="HR"/>
    <x v="4"/>
    <x v="3"/>
    <x v="44"/>
    <x v="44"/>
    <s v="UPI"/>
    <s v="TXN100045"/>
    <x v="0"/>
  </r>
  <r>
    <s v="2025-03-15 00:00:00"/>
    <x v="2"/>
    <s v="Sales"/>
    <x v="5"/>
    <x v="2"/>
    <x v="45"/>
    <x v="45"/>
    <s v="Cash"/>
    <s v="TXN100046"/>
    <x v="0"/>
  </r>
  <r>
    <s v="2025-03-12 00:00:00"/>
    <x v="2"/>
    <s v="Sales"/>
    <x v="6"/>
    <x v="1"/>
    <x v="46"/>
    <x v="46"/>
    <s v="Bank Transfer"/>
    <s v="TXN100047"/>
    <x v="1"/>
  </r>
  <r>
    <s v="2025-03-12 00:00:00"/>
    <x v="2"/>
    <s v="Marketing"/>
    <x v="6"/>
    <x v="4"/>
    <x v="47"/>
    <x v="47"/>
    <s v="Bank Transfer"/>
    <s v="TXN100048"/>
    <x v="1"/>
  </r>
  <r>
    <s v="2025-03-20 00:00:00"/>
    <x v="2"/>
    <s v="Sales"/>
    <x v="7"/>
    <x v="0"/>
    <x v="48"/>
    <x v="48"/>
    <s v="Bank Transfer"/>
    <s v="TXN100049"/>
    <x v="1"/>
  </r>
  <r>
    <s v="2025-04-25 00:00:00"/>
    <x v="3"/>
    <s v="Operations"/>
    <x v="0"/>
    <x v="2"/>
    <x v="49"/>
    <x v="49"/>
    <s v="Bank Transfer"/>
    <s v="TXN100050"/>
    <x v="0"/>
  </r>
  <r>
    <s v="2025-04-25 00:00:00"/>
    <x v="3"/>
    <s v="Finance"/>
    <x v="0"/>
    <x v="3"/>
    <x v="50"/>
    <x v="50"/>
    <s v="Bank Transfer"/>
    <s v="TXN100051"/>
    <x v="0"/>
  </r>
  <r>
    <s v="2025-04-25 00:00:00"/>
    <x v="3"/>
    <s v="Marketing"/>
    <x v="0"/>
    <x v="1"/>
    <x v="51"/>
    <x v="51"/>
    <s v="Bank Transfer"/>
    <s v="TXN100052"/>
    <x v="0"/>
  </r>
  <r>
    <s v="2025-04-25 00:00:00"/>
    <x v="3"/>
    <s v="IT"/>
    <x v="0"/>
    <x v="2"/>
    <x v="52"/>
    <x v="52"/>
    <s v="Bank Transfer"/>
    <s v="TXN100053"/>
    <x v="0"/>
  </r>
  <r>
    <s v="2025-04-25 00:00:00"/>
    <x v="3"/>
    <s v="HR"/>
    <x v="0"/>
    <x v="2"/>
    <x v="53"/>
    <x v="53"/>
    <s v="Bank Transfer"/>
    <s v="TXN100054"/>
    <x v="0"/>
  </r>
  <r>
    <s v="2025-04-25 00:00:00"/>
    <x v="3"/>
    <s v="Sales"/>
    <x v="0"/>
    <x v="1"/>
    <x v="54"/>
    <x v="54"/>
    <s v="Bank Transfer"/>
    <s v="TXN100055"/>
    <x v="0"/>
  </r>
  <r>
    <s v="2025-04-10 00:00:00"/>
    <x v="3"/>
    <s v="IT"/>
    <x v="1"/>
    <x v="3"/>
    <x v="55"/>
    <x v="55"/>
    <s v="Cash"/>
    <s v="TXN100056"/>
    <x v="0"/>
  </r>
  <r>
    <s v="2025-04-10 00:00:00"/>
    <x v="3"/>
    <s v="IT"/>
    <x v="2"/>
    <x v="0"/>
    <x v="56"/>
    <x v="56"/>
    <s v="Cash"/>
    <s v="TXN100057"/>
    <x v="0"/>
  </r>
  <r>
    <s v="2025-04-10 00:00:00"/>
    <x v="3"/>
    <s v="Sales"/>
    <x v="3"/>
    <x v="2"/>
    <x v="57"/>
    <x v="57"/>
    <s v="Cash"/>
    <s v="TXN100058"/>
    <x v="0"/>
  </r>
  <r>
    <s v="2025-04-10 00:00:00"/>
    <x v="3"/>
    <s v="Finance"/>
    <x v="3"/>
    <x v="1"/>
    <x v="58"/>
    <x v="58"/>
    <s v="Bank Transfer"/>
    <s v="TXN100059"/>
    <x v="0"/>
  </r>
  <r>
    <s v="2025-04-15 00:00:00"/>
    <x v="3"/>
    <s v="IT"/>
    <x v="4"/>
    <x v="2"/>
    <x v="59"/>
    <x v="59"/>
    <s v="Card"/>
    <s v="TXN100060"/>
    <x v="0"/>
  </r>
  <r>
    <s v="2025-04-12 00:00:00"/>
    <x v="3"/>
    <s v="Sales"/>
    <x v="6"/>
    <x v="2"/>
    <x v="60"/>
    <x v="60"/>
    <s v="Bank Transfer"/>
    <s v="TXN100061"/>
    <x v="1"/>
  </r>
  <r>
    <s v="2025-04-12 00:00:00"/>
    <x v="3"/>
    <s v="Operations"/>
    <x v="6"/>
    <x v="3"/>
    <x v="61"/>
    <x v="61"/>
    <s v="Bank Transfer"/>
    <s v="TXN100062"/>
    <x v="1"/>
  </r>
  <r>
    <s v="2025-04-12 00:00:00"/>
    <x v="3"/>
    <s v="Operations"/>
    <x v="6"/>
    <x v="2"/>
    <x v="62"/>
    <x v="62"/>
    <s v="UPI"/>
    <s v="TXN100063"/>
    <x v="1"/>
  </r>
  <r>
    <s v="2025-04-12 00:00:00"/>
    <x v="3"/>
    <s v="Operations"/>
    <x v="6"/>
    <x v="0"/>
    <x v="63"/>
    <x v="63"/>
    <s v="Card"/>
    <s v="TXN100064"/>
    <x v="1"/>
  </r>
  <r>
    <s v="2025-04-20 00:00:00"/>
    <x v="3"/>
    <s v="Sales"/>
    <x v="7"/>
    <x v="0"/>
    <x v="64"/>
    <x v="64"/>
    <s v="Cash"/>
    <s v="TXN100065"/>
    <x v="1"/>
  </r>
  <r>
    <s v="2025-04-20 00:00:00"/>
    <x v="3"/>
    <s v="Sales"/>
    <x v="7"/>
    <x v="1"/>
    <x v="65"/>
    <x v="65"/>
    <s v="Bank Transfer"/>
    <s v="TXN100066"/>
    <x v="1"/>
  </r>
  <r>
    <s v="2025-05-25 00:00:00"/>
    <x v="4"/>
    <s v="Operations"/>
    <x v="0"/>
    <x v="2"/>
    <x v="66"/>
    <x v="66"/>
    <s v="Bank Transfer"/>
    <s v="TXN100067"/>
    <x v="0"/>
  </r>
  <r>
    <s v="2025-05-25 00:00:00"/>
    <x v="4"/>
    <s v="Finance"/>
    <x v="0"/>
    <x v="3"/>
    <x v="67"/>
    <x v="67"/>
    <s v="Bank Transfer"/>
    <s v="TXN100068"/>
    <x v="0"/>
  </r>
  <r>
    <s v="2025-05-25 00:00:00"/>
    <x v="4"/>
    <s v="Marketing"/>
    <x v="0"/>
    <x v="0"/>
    <x v="68"/>
    <x v="68"/>
    <s v="Bank Transfer"/>
    <s v="TXN100069"/>
    <x v="0"/>
  </r>
  <r>
    <s v="2025-05-25 00:00:00"/>
    <x v="4"/>
    <s v="IT"/>
    <x v="0"/>
    <x v="3"/>
    <x v="69"/>
    <x v="69"/>
    <s v="Bank Transfer"/>
    <s v="TXN100070"/>
    <x v="0"/>
  </r>
  <r>
    <s v="2025-05-25 00:00:00"/>
    <x v="4"/>
    <s v="HR"/>
    <x v="0"/>
    <x v="4"/>
    <x v="70"/>
    <x v="70"/>
    <s v="Bank Transfer"/>
    <s v="TXN100071"/>
    <x v="0"/>
  </r>
  <r>
    <s v="2025-05-25 00:00:00"/>
    <x v="4"/>
    <s v="Sales"/>
    <x v="0"/>
    <x v="0"/>
    <x v="71"/>
    <x v="71"/>
    <s v="Bank Transfer"/>
    <s v="TXN100072"/>
    <x v="0"/>
  </r>
  <r>
    <s v="2025-05-10 00:00:00"/>
    <x v="4"/>
    <s v="Marketing"/>
    <x v="1"/>
    <x v="1"/>
    <x v="72"/>
    <x v="72"/>
    <s v="Card"/>
    <s v="TXN100073"/>
    <x v="0"/>
  </r>
  <r>
    <s v="2025-05-10 00:00:00"/>
    <x v="4"/>
    <s v="Sales"/>
    <x v="2"/>
    <x v="2"/>
    <x v="73"/>
    <x v="73"/>
    <s v="Card"/>
    <s v="TXN100074"/>
    <x v="0"/>
  </r>
  <r>
    <s v="2025-05-10 00:00:00"/>
    <x v="4"/>
    <s v="Finance"/>
    <x v="2"/>
    <x v="0"/>
    <x v="74"/>
    <x v="74"/>
    <s v="Card"/>
    <s v="TXN100075"/>
    <x v="0"/>
  </r>
  <r>
    <s v="2025-05-10 00:00:00"/>
    <x v="4"/>
    <s v="Operations"/>
    <x v="3"/>
    <x v="1"/>
    <x v="75"/>
    <x v="75"/>
    <s v="Cash"/>
    <s v="TXN100076"/>
    <x v="0"/>
  </r>
  <r>
    <s v="2025-05-10 00:00:00"/>
    <x v="4"/>
    <s v="Operations"/>
    <x v="3"/>
    <x v="0"/>
    <x v="76"/>
    <x v="76"/>
    <s v="Card"/>
    <s v="TXN100077"/>
    <x v="0"/>
  </r>
  <r>
    <s v="2025-05-15 00:00:00"/>
    <x v="4"/>
    <s v="IT"/>
    <x v="4"/>
    <x v="2"/>
    <x v="77"/>
    <x v="77"/>
    <s v="Cash"/>
    <s v="TXN100078"/>
    <x v="0"/>
  </r>
  <r>
    <s v="2025-05-15 00:00:00"/>
    <x v="4"/>
    <s v="Sales"/>
    <x v="5"/>
    <x v="3"/>
    <x v="78"/>
    <x v="78"/>
    <s v="Bank Transfer"/>
    <s v="TXN100079"/>
    <x v="0"/>
  </r>
  <r>
    <s v="2025-05-12 00:00:00"/>
    <x v="4"/>
    <s v="Marketing"/>
    <x v="6"/>
    <x v="3"/>
    <x v="79"/>
    <x v="79"/>
    <s v="Bank Transfer"/>
    <s v="TXN100080"/>
    <x v="1"/>
  </r>
  <r>
    <s v="2025-05-12 00:00:00"/>
    <x v="4"/>
    <s v="Sales"/>
    <x v="6"/>
    <x v="0"/>
    <x v="80"/>
    <x v="80"/>
    <s v="Card"/>
    <s v="TXN100081"/>
    <x v="1"/>
  </r>
  <r>
    <s v="2025-05-12 00:00:00"/>
    <x v="4"/>
    <s v="Marketing"/>
    <x v="6"/>
    <x v="2"/>
    <x v="81"/>
    <x v="81"/>
    <s v="Cash"/>
    <s v="TXN100082"/>
    <x v="1"/>
  </r>
  <r>
    <s v="2025-05-20 00:00:00"/>
    <x v="4"/>
    <s v="Sales"/>
    <x v="7"/>
    <x v="3"/>
    <x v="82"/>
    <x v="82"/>
    <s v="Cash"/>
    <s v="TXN100083"/>
    <x v="1"/>
  </r>
  <r>
    <s v="2025-06-25 00:00:00"/>
    <x v="5"/>
    <s v="Operations"/>
    <x v="0"/>
    <x v="0"/>
    <x v="83"/>
    <x v="83"/>
    <s v="Bank Transfer"/>
    <s v="TXN100084"/>
    <x v="0"/>
  </r>
  <r>
    <s v="2025-06-25 00:00:00"/>
    <x v="5"/>
    <s v="Finance"/>
    <x v="0"/>
    <x v="3"/>
    <x v="84"/>
    <x v="84"/>
    <s v="Bank Transfer"/>
    <s v="TXN100085"/>
    <x v="0"/>
  </r>
  <r>
    <s v="2025-06-25 00:00:00"/>
    <x v="5"/>
    <s v="Marketing"/>
    <x v="0"/>
    <x v="1"/>
    <x v="85"/>
    <x v="85"/>
    <s v="Bank Transfer"/>
    <s v="TXN100086"/>
    <x v="0"/>
  </r>
  <r>
    <s v="2025-06-25 00:00:00"/>
    <x v="5"/>
    <s v="IT"/>
    <x v="0"/>
    <x v="4"/>
    <x v="86"/>
    <x v="86"/>
    <s v="Bank Transfer"/>
    <s v="TXN100087"/>
    <x v="0"/>
  </r>
  <r>
    <s v="2025-06-25 00:00:00"/>
    <x v="5"/>
    <s v="HR"/>
    <x v="0"/>
    <x v="4"/>
    <x v="87"/>
    <x v="87"/>
    <s v="Bank Transfer"/>
    <s v="TXN100088"/>
    <x v="0"/>
  </r>
  <r>
    <s v="2025-06-25 00:00:00"/>
    <x v="5"/>
    <s v="Sales"/>
    <x v="0"/>
    <x v="3"/>
    <x v="88"/>
    <x v="88"/>
    <s v="Bank Transfer"/>
    <s v="TXN100089"/>
    <x v="0"/>
  </r>
  <r>
    <s v="2025-06-10 00:00:00"/>
    <x v="5"/>
    <s v="IT"/>
    <x v="1"/>
    <x v="0"/>
    <x v="89"/>
    <x v="89"/>
    <s v="UPI"/>
    <s v="TXN100090"/>
    <x v="0"/>
  </r>
  <r>
    <s v="2025-06-10 00:00:00"/>
    <x v="5"/>
    <s v="Sales"/>
    <x v="2"/>
    <x v="2"/>
    <x v="90"/>
    <x v="90"/>
    <s v="Cash"/>
    <s v="TXN100091"/>
    <x v="0"/>
  </r>
  <r>
    <s v="2025-06-10 00:00:00"/>
    <x v="5"/>
    <s v="Marketing"/>
    <x v="3"/>
    <x v="3"/>
    <x v="91"/>
    <x v="91"/>
    <s v="UPI"/>
    <s v="TXN100092"/>
    <x v="0"/>
  </r>
  <r>
    <s v="2025-06-10 00:00:00"/>
    <x v="5"/>
    <s v="IT"/>
    <x v="3"/>
    <x v="0"/>
    <x v="92"/>
    <x v="92"/>
    <s v="UPI"/>
    <s v="TXN100093"/>
    <x v="0"/>
  </r>
  <r>
    <s v="2025-06-15 00:00:00"/>
    <x v="5"/>
    <s v="HR"/>
    <x v="4"/>
    <x v="3"/>
    <x v="93"/>
    <x v="93"/>
    <s v="UPI"/>
    <s v="TXN100094"/>
    <x v="0"/>
  </r>
  <r>
    <s v="2025-06-12 00:00:00"/>
    <x v="5"/>
    <s v="Operations"/>
    <x v="6"/>
    <x v="3"/>
    <x v="94"/>
    <x v="94"/>
    <s v="UPI"/>
    <s v="TXN100095"/>
    <x v="1"/>
  </r>
  <r>
    <s v="2025-06-12 00:00:00"/>
    <x v="5"/>
    <s v="Operations"/>
    <x v="6"/>
    <x v="0"/>
    <x v="95"/>
    <x v="95"/>
    <s v="UPI"/>
    <s v="TXN100096"/>
    <x v="1"/>
  </r>
  <r>
    <s v="2025-06-12 00:00:00"/>
    <x v="5"/>
    <s v="Marketing"/>
    <x v="6"/>
    <x v="2"/>
    <x v="96"/>
    <x v="96"/>
    <s v="UPI"/>
    <s v="TXN100097"/>
    <x v="1"/>
  </r>
  <r>
    <s v="2025-06-20 00:00:00"/>
    <x v="5"/>
    <s v="Sales"/>
    <x v="7"/>
    <x v="0"/>
    <x v="97"/>
    <x v="97"/>
    <s v="Card"/>
    <s v="TXN100098"/>
    <x v="1"/>
  </r>
  <r>
    <s v="2025-06-20 00:00:00"/>
    <x v="5"/>
    <s v="Sales"/>
    <x v="7"/>
    <x v="4"/>
    <x v="98"/>
    <x v="98"/>
    <s v="Card"/>
    <s v="TXN100099"/>
    <x v="1"/>
  </r>
  <r>
    <s v="2025-07-25 00:00:00"/>
    <x v="6"/>
    <s v="Operations"/>
    <x v="0"/>
    <x v="4"/>
    <x v="99"/>
    <x v="99"/>
    <s v="Bank Transfer"/>
    <s v="TXN100100"/>
    <x v="0"/>
  </r>
  <r>
    <s v="2025-07-25 00:00:00"/>
    <x v="6"/>
    <s v="Finance"/>
    <x v="0"/>
    <x v="0"/>
    <x v="100"/>
    <x v="100"/>
    <s v="Bank Transfer"/>
    <s v="TXN100101"/>
    <x v="0"/>
  </r>
  <r>
    <s v="2025-07-25 00:00:00"/>
    <x v="6"/>
    <s v="Marketing"/>
    <x v="0"/>
    <x v="2"/>
    <x v="101"/>
    <x v="101"/>
    <s v="Bank Transfer"/>
    <s v="TXN100102"/>
    <x v="0"/>
  </r>
  <r>
    <s v="2025-07-25 00:00:00"/>
    <x v="6"/>
    <s v="IT"/>
    <x v="0"/>
    <x v="4"/>
    <x v="102"/>
    <x v="98"/>
    <s v="Bank Transfer"/>
    <s v="TXN100103"/>
    <x v="0"/>
  </r>
  <r>
    <s v="2025-07-25 00:00:00"/>
    <x v="6"/>
    <s v="HR"/>
    <x v="0"/>
    <x v="3"/>
    <x v="103"/>
    <x v="102"/>
    <s v="Bank Transfer"/>
    <s v="TXN100104"/>
    <x v="0"/>
  </r>
  <r>
    <s v="2025-07-25 00:00:00"/>
    <x v="6"/>
    <s v="Sales"/>
    <x v="0"/>
    <x v="3"/>
    <x v="104"/>
    <x v="103"/>
    <s v="Bank Transfer"/>
    <s v="TXN100105"/>
    <x v="0"/>
  </r>
  <r>
    <s v="2025-07-10 00:00:00"/>
    <x v="6"/>
    <s v="Sales"/>
    <x v="1"/>
    <x v="2"/>
    <x v="105"/>
    <x v="104"/>
    <s v="UPI"/>
    <s v="TXN100106"/>
    <x v="0"/>
  </r>
  <r>
    <s v="2025-07-10 00:00:00"/>
    <x v="6"/>
    <s v="Finance"/>
    <x v="2"/>
    <x v="0"/>
    <x v="106"/>
    <x v="105"/>
    <s v="Card"/>
    <s v="TXN100107"/>
    <x v="0"/>
  </r>
  <r>
    <s v="2025-07-10 00:00:00"/>
    <x v="6"/>
    <s v="Finance"/>
    <x v="3"/>
    <x v="4"/>
    <x v="107"/>
    <x v="106"/>
    <s v="Bank Transfer"/>
    <s v="TXN100108"/>
    <x v="0"/>
  </r>
  <r>
    <s v="2025-07-15 00:00:00"/>
    <x v="6"/>
    <s v="Finance"/>
    <x v="4"/>
    <x v="4"/>
    <x v="108"/>
    <x v="107"/>
    <s v="Cash"/>
    <s v="TXN100109"/>
    <x v="0"/>
  </r>
  <r>
    <s v="2025-07-15 00:00:00"/>
    <x v="6"/>
    <s v="Operations"/>
    <x v="5"/>
    <x v="1"/>
    <x v="109"/>
    <x v="108"/>
    <s v="Cash"/>
    <s v="TXN100110"/>
    <x v="0"/>
  </r>
  <r>
    <s v="2025-07-12 00:00:00"/>
    <x v="6"/>
    <s v="Operations"/>
    <x v="6"/>
    <x v="2"/>
    <x v="110"/>
    <x v="109"/>
    <s v="Cash"/>
    <s v="TXN100111"/>
    <x v="1"/>
  </r>
  <r>
    <s v="2025-07-12 00:00:00"/>
    <x v="6"/>
    <s v="Sales"/>
    <x v="6"/>
    <x v="4"/>
    <x v="111"/>
    <x v="110"/>
    <s v="Card"/>
    <s v="TXN100112"/>
    <x v="1"/>
  </r>
  <r>
    <s v="2025-07-20 00:00:00"/>
    <x v="6"/>
    <s v="Sales"/>
    <x v="7"/>
    <x v="2"/>
    <x v="112"/>
    <x v="111"/>
    <s v="UPI"/>
    <s v="TXN100113"/>
    <x v="1"/>
  </r>
  <r>
    <s v="2025-07-20 00:00:00"/>
    <x v="6"/>
    <s v="Sales"/>
    <x v="7"/>
    <x v="2"/>
    <x v="113"/>
    <x v="112"/>
    <s v="Cash"/>
    <s v="TXN100114"/>
    <x v="1"/>
  </r>
  <r>
    <s v="2025-08-25 00:00:00"/>
    <x v="7"/>
    <s v="Operations"/>
    <x v="0"/>
    <x v="4"/>
    <x v="114"/>
    <x v="113"/>
    <s v="Bank Transfer"/>
    <s v="TXN100115"/>
    <x v="0"/>
  </r>
  <r>
    <s v="2025-08-25 00:00:00"/>
    <x v="7"/>
    <s v="Finance"/>
    <x v="0"/>
    <x v="4"/>
    <x v="115"/>
    <x v="114"/>
    <s v="Bank Transfer"/>
    <s v="TXN100116"/>
    <x v="0"/>
  </r>
  <r>
    <s v="2025-08-25 00:00:00"/>
    <x v="7"/>
    <s v="Marketing"/>
    <x v="0"/>
    <x v="3"/>
    <x v="116"/>
    <x v="115"/>
    <s v="Bank Transfer"/>
    <s v="TXN100117"/>
    <x v="0"/>
  </r>
  <r>
    <s v="2025-08-25 00:00:00"/>
    <x v="7"/>
    <s v="IT"/>
    <x v="0"/>
    <x v="2"/>
    <x v="117"/>
    <x v="116"/>
    <s v="Bank Transfer"/>
    <s v="TXN100118"/>
    <x v="0"/>
  </r>
  <r>
    <s v="2025-08-25 00:00:00"/>
    <x v="7"/>
    <s v="HR"/>
    <x v="0"/>
    <x v="0"/>
    <x v="118"/>
    <x v="117"/>
    <s v="Bank Transfer"/>
    <s v="TXN100119"/>
    <x v="0"/>
  </r>
  <r>
    <s v="2025-08-25 00:00:00"/>
    <x v="7"/>
    <s v="Sales"/>
    <x v="0"/>
    <x v="0"/>
    <x v="119"/>
    <x v="118"/>
    <s v="Bank Transfer"/>
    <s v="TXN100120"/>
    <x v="0"/>
  </r>
  <r>
    <s v="2025-08-10 00:00:00"/>
    <x v="7"/>
    <s v="HR"/>
    <x v="1"/>
    <x v="1"/>
    <x v="120"/>
    <x v="119"/>
    <s v="Card"/>
    <s v="TXN100121"/>
    <x v="0"/>
  </r>
  <r>
    <s v="2025-08-10 00:00:00"/>
    <x v="7"/>
    <s v="Finance"/>
    <x v="2"/>
    <x v="3"/>
    <x v="121"/>
    <x v="120"/>
    <s v="Bank Transfer"/>
    <s v="TXN100122"/>
    <x v="0"/>
  </r>
  <r>
    <s v="2025-08-10 00:00:00"/>
    <x v="7"/>
    <s v="IT"/>
    <x v="3"/>
    <x v="4"/>
    <x v="122"/>
    <x v="121"/>
    <s v="Bank Transfer"/>
    <s v="TXN100123"/>
    <x v="0"/>
  </r>
  <r>
    <s v="2025-08-10 00:00:00"/>
    <x v="7"/>
    <s v="IT"/>
    <x v="3"/>
    <x v="2"/>
    <x v="123"/>
    <x v="122"/>
    <s v="Bank Transfer"/>
    <s v="TXN100124"/>
    <x v="0"/>
  </r>
  <r>
    <s v="2025-08-15 00:00:00"/>
    <x v="7"/>
    <s v="IT"/>
    <x v="4"/>
    <x v="1"/>
    <x v="124"/>
    <x v="123"/>
    <s v="UPI"/>
    <s v="TXN100125"/>
    <x v="0"/>
  </r>
  <r>
    <s v="2025-08-12 00:00:00"/>
    <x v="7"/>
    <s v="Operations"/>
    <x v="6"/>
    <x v="2"/>
    <x v="125"/>
    <x v="124"/>
    <s v="Card"/>
    <s v="TXN100126"/>
    <x v="1"/>
  </r>
  <r>
    <s v="2025-08-12 00:00:00"/>
    <x v="7"/>
    <s v="Marketing"/>
    <x v="6"/>
    <x v="4"/>
    <x v="126"/>
    <x v="125"/>
    <s v="Bank Transfer"/>
    <s v="TXN100127"/>
    <x v="1"/>
  </r>
  <r>
    <s v="2025-08-12 00:00:00"/>
    <x v="7"/>
    <s v="Operations"/>
    <x v="6"/>
    <x v="4"/>
    <x v="127"/>
    <x v="126"/>
    <s v="Card"/>
    <s v="TXN100128"/>
    <x v="1"/>
  </r>
  <r>
    <s v="2025-08-20 00:00:00"/>
    <x v="7"/>
    <s v="Sales"/>
    <x v="7"/>
    <x v="2"/>
    <x v="128"/>
    <x v="127"/>
    <s v="Bank Transfer"/>
    <s v="TXN100129"/>
    <x v="1"/>
  </r>
  <r>
    <s v="2025-08-20 00:00:00"/>
    <x v="7"/>
    <s v="Sales"/>
    <x v="7"/>
    <x v="1"/>
    <x v="129"/>
    <x v="128"/>
    <s v="Bank Transfer"/>
    <s v="TXN100130"/>
    <x v="1"/>
  </r>
  <r>
    <s v="2025-09-25 00:00:00"/>
    <x v="8"/>
    <s v="Operations"/>
    <x v="0"/>
    <x v="4"/>
    <x v="130"/>
    <x v="129"/>
    <s v="Bank Transfer"/>
    <s v="TXN100131"/>
    <x v="0"/>
  </r>
  <r>
    <s v="2025-09-25 00:00:00"/>
    <x v="8"/>
    <s v="Finance"/>
    <x v="0"/>
    <x v="4"/>
    <x v="131"/>
    <x v="130"/>
    <s v="Bank Transfer"/>
    <s v="TXN100132"/>
    <x v="0"/>
  </r>
  <r>
    <s v="2025-09-25 00:00:00"/>
    <x v="8"/>
    <s v="Marketing"/>
    <x v="0"/>
    <x v="0"/>
    <x v="132"/>
    <x v="131"/>
    <s v="Bank Transfer"/>
    <s v="TXN100133"/>
    <x v="0"/>
  </r>
  <r>
    <s v="2025-09-25 00:00:00"/>
    <x v="8"/>
    <s v="IT"/>
    <x v="0"/>
    <x v="4"/>
    <x v="133"/>
    <x v="132"/>
    <s v="Bank Transfer"/>
    <s v="TXN100134"/>
    <x v="0"/>
  </r>
  <r>
    <s v="2025-09-25 00:00:00"/>
    <x v="8"/>
    <s v="HR"/>
    <x v="0"/>
    <x v="4"/>
    <x v="134"/>
    <x v="133"/>
    <s v="Bank Transfer"/>
    <s v="TXN100135"/>
    <x v="0"/>
  </r>
  <r>
    <s v="2025-09-25 00:00:00"/>
    <x v="8"/>
    <s v="Sales"/>
    <x v="0"/>
    <x v="4"/>
    <x v="135"/>
    <x v="134"/>
    <s v="Bank Transfer"/>
    <s v="TXN100136"/>
    <x v="0"/>
  </r>
  <r>
    <s v="2025-09-10 00:00:00"/>
    <x v="8"/>
    <s v="Marketing"/>
    <x v="1"/>
    <x v="3"/>
    <x v="136"/>
    <x v="135"/>
    <s v="Bank Transfer"/>
    <s v="TXN100137"/>
    <x v="0"/>
  </r>
  <r>
    <s v="2025-09-10 00:00:00"/>
    <x v="8"/>
    <s v="Finance"/>
    <x v="2"/>
    <x v="3"/>
    <x v="137"/>
    <x v="136"/>
    <s v="Bank Transfer"/>
    <s v="TXN100138"/>
    <x v="0"/>
  </r>
  <r>
    <s v="2025-09-10 00:00:00"/>
    <x v="8"/>
    <s v="Sales"/>
    <x v="3"/>
    <x v="1"/>
    <x v="138"/>
    <x v="137"/>
    <s v="Card"/>
    <s v="TXN100139"/>
    <x v="0"/>
  </r>
  <r>
    <s v="2025-09-15 00:00:00"/>
    <x v="8"/>
    <s v="Finance"/>
    <x v="4"/>
    <x v="2"/>
    <x v="139"/>
    <x v="138"/>
    <s v="Bank Transfer"/>
    <s v="TXN100140"/>
    <x v="0"/>
  </r>
  <r>
    <s v="2025-09-15 00:00:00"/>
    <x v="8"/>
    <s v="Operations"/>
    <x v="5"/>
    <x v="2"/>
    <x v="140"/>
    <x v="139"/>
    <s v="Bank Transfer"/>
    <s v="TXN100141"/>
    <x v="0"/>
  </r>
  <r>
    <s v="2025-09-12 00:00:00"/>
    <x v="8"/>
    <s v="Marketing"/>
    <x v="6"/>
    <x v="4"/>
    <x v="141"/>
    <x v="140"/>
    <s v="Card"/>
    <s v="TXN100142"/>
    <x v="1"/>
  </r>
  <r>
    <s v="2025-09-12 00:00:00"/>
    <x v="8"/>
    <s v="Operations"/>
    <x v="6"/>
    <x v="3"/>
    <x v="142"/>
    <x v="141"/>
    <s v="Bank Transfer"/>
    <s v="TXN100143"/>
    <x v="1"/>
  </r>
  <r>
    <s v="2025-09-12 00:00:00"/>
    <x v="8"/>
    <s v="Operations"/>
    <x v="6"/>
    <x v="1"/>
    <x v="143"/>
    <x v="142"/>
    <s v="Bank Transfer"/>
    <s v="TXN100144"/>
    <x v="1"/>
  </r>
  <r>
    <s v="2025-09-20 00:00:00"/>
    <x v="8"/>
    <s v="Sales"/>
    <x v="7"/>
    <x v="0"/>
    <x v="144"/>
    <x v="143"/>
    <s v="Bank Transfer"/>
    <s v="TXN100145"/>
    <x v="1"/>
  </r>
  <r>
    <s v="2025-09-20 00:00:00"/>
    <x v="8"/>
    <s v="Sales"/>
    <x v="7"/>
    <x v="1"/>
    <x v="145"/>
    <x v="144"/>
    <s v="Cash"/>
    <s v="TXN100146"/>
    <x v="1"/>
  </r>
  <r>
    <s v="2025-10-25 00:00:00"/>
    <x v="9"/>
    <s v="Operations"/>
    <x v="0"/>
    <x v="4"/>
    <x v="146"/>
    <x v="145"/>
    <s v="Bank Transfer"/>
    <s v="TXN100147"/>
    <x v="0"/>
  </r>
  <r>
    <s v="2025-10-25 00:00:00"/>
    <x v="9"/>
    <s v="Finance"/>
    <x v="0"/>
    <x v="4"/>
    <x v="147"/>
    <x v="146"/>
    <s v="Bank Transfer"/>
    <s v="TXN100148"/>
    <x v="0"/>
  </r>
  <r>
    <s v="2025-10-25 00:00:00"/>
    <x v="9"/>
    <s v="Marketing"/>
    <x v="0"/>
    <x v="3"/>
    <x v="148"/>
    <x v="147"/>
    <s v="Bank Transfer"/>
    <s v="TXN100149"/>
    <x v="0"/>
  </r>
  <r>
    <s v="2025-10-25 00:00:00"/>
    <x v="9"/>
    <s v="IT"/>
    <x v="0"/>
    <x v="0"/>
    <x v="149"/>
    <x v="148"/>
    <s v="Bank Transfer"/>
    <s v="TXN100150"/>
    <x v="0"/>
  </r>
  <r>
    <s v="2025-10-25 00:00:00"/>
    <x v="9"/>
    <s v="HR"/>
    <x v="0"/>
    <x v="2"/>
    <x v="150"/>
    <x v="149"/>
    <s v="Bank Transfer"/>
    <s v="TXN100151"/>
    <x v="0"/>
  </r>
  <r>
    <s v="2025-10-25 00:00:00"/>
    <x v="9"/>
    <s v="Sales"/>
    <x v="0"/>
    <x v="4"/>
    <x v="151"/>
    <x v="150"/>
    <s v="Bank Transfer"/>
    <s v="TXN100152"/>
    <x v="0"/>
  </r>
  <r>
    <s v="2025-10-10 00:00:00"/>
    <x v="9"/>
    <s v="Operations"/>
    <x v="1"/>
    <x v="0"/>
    <x v="152"/>
    <x v="151"/>
    <s v="Cash"/>
    <s v="TXN100153"/>
    <x v="0"/>
  </r>
  <r>
    <s v="2025-10-10 00:00:00"/>
    <x v="9"/>
    <s v="HR"/>
    <x v="1"/>
    <x v="2"/>
    <x v="153"/>
    <x v="152"/>
    <s v="Cash"/>
    <s v="TXN100154"/>
    <x v="0"/>
  </r>
  <r>
    <s v="2025-10-10 00:00:00"/>
    <x v="9"/>
    <s v="Marketing"/>
    <x v="2"/>
    <x v="3"/>
    <x v="154"/>
    <x v="153"/>
    <s v="Cash"/>
    <s v="TXN100155"/>
    <x v="0"/>
  </r>
  <r>
    <s v="2025-10-10 00:00:00"/>
    <x v="9"/>
    <s v="Marketing"/>
    <x v="2"/>
    <x v="0"/>
    <x v="155"/>
    <x v="154"/>
    <s v="UPI"/>
    <s v="TXN100156"/>
    <x v="0"/>
  </r>
  <r>
    <s v="2025-10-10 00:00:00"/>
    <x v="9"/>
    <s v="Finance"/>
    <x v="3"/>
    <x v="1"/>
    <x v="156"/>
    <x v="155"/>
    <s v="Card"/>
    <s v="TXN100157"/>
    <x v="0"/>
  </r>
  <r>
    <s v="2025-10-10 00:00:00"/>
    <x v="9"/>
    <s v="HR"/>
    <x v="3"/>
    <x v="3"/>
    <x v="157"/>
    <x v="156"/>
    <s v="Cash"/>
    <s v="TXN100158"/>
    <x v="0"/>
  </r>
  <r>
    <s v="2025-10-15 00:00:00"/>
    <x v="9"/>
    <s v="Operations"/>
    <x v="4"/>
    <x v="1"/>
    <x v="158"/>
    <x v="157"/>
    <s v="UPI"/>
    <s v="TXN100159"/>
    <x v="0"/>
  </r>
  <r>
    <s v="2025-10-12 00:00:00"/>
    <x v="9"/>
    <s v="Operations"/>
    <x v="6"/>
    <x v="0"/>
    <x v="159"/>
    <x v="158"/>
    <s v="Cash"/>
    <s v="TXN100160"/>
    <x v="1"/>
  </r>
  <r>
    <s v="2025-10-12 00:00:00"/>
    <x v="9"/>
    <s v="Marketing"/>
    <x v="6"/>
    <x v="2"/>
    <x v="160"/>
    <x v="159"/>
    <s v="UPI"/>
    <s v="TXN100161"/>
    <x v="1"/>
  </r>
  <r>
    <s v="2025-10-12 00:00:00"/>
    <x v="9"/>
    <s v="Marketing"/>
    <x v="6"/>
    <x v="0"/>
    <x v="161"/>
    <x v="160"/>
    <s v="UPI"/>
    <s v="TXN100162"/>
    <x v="1"/>
  </r>
  <r>
    <s v="2025-10-12 00:00:00"/>
    <x v="9"/>
    <s v="Sales"/>
    <x v="6"/>
    <x v="0"/>
    <x v="162"/>
    <x v="161"/>
    <s v="Bank Transfer"/>
    <s v="TXN100163"/>
    <x v="1"/>
  </r>
  <r>
    <s v="2025-10-20 00:00:00"/>
    <x v="9"/>
    <s v="Sales"/>
    <x v="7"/>
    <x v="4"/>
    <x v="163"/>
    <x v="162"/>
    <s v="UPI"/>
    <s v="TXN100164"/>
    <x v="1"/>
  </r>
  <r>
    <s v="2025-11-25 00:00:00"/>
    <x v="10"/>
    <s v="Operations"/>
    <x v="0"/>
    <x v="2"/>
    <x v="164"/>
    <x v="163"/>
    <s v="Bank Transfer"/>
    <s v="TXN100165"/>
    <x v="0"/>
  </r>
  <r>
    <s v="2025-11-25 00:00:00"/>
    <x v="10"/>
    <s v="Finance"/>
    <x v="0"/>
    <x v="1"/>
    <x v="165"/>
    <x v="164"/>
    <s v="Bank Transfer"/>
    <s v="TXN100166"/>
    <x v="0"/>
  </r>
  <r>
    <s v="2025-11-25 00:00:00"/>
    <x v="10"/>
    <s v="Marketing"/>
    <x v="0"/>
    <x v="3"/>
    <x v="166"/>
    <x v="165"/>
    <s v="Bank Transfer"/>
    <s v="TXN100167"/>
    <x v="0"/>
  </r>
  <r>
    <s v="2025-11-25 00:00:00"/>
    <x v="10"/>
    <s v="IT"/>
    <x v="0"/>
    <x v="1"/>
    <x v="167"/>
    <x v="166"/>
    <s v="Bank Transfer"/>
    <s v="TXN100168"/>
    <x v="0"/>
  </r>
  <r>
    <s v="2025-11-25 00:00:00"/>
    <x v="10"/>
    <s v="HR"/>
    <x v="0"/>
    <x v="0"/>
    <x v="168"/>
    <x v="167"/>
    <s v="Bank Transfer"/>
    <s v="TXN100169"/>
    <x v="0"/>
  </r>
  <r>
    <s v="2025-11-25 00:00:00"/>
    <x v="10"/>
    <s v="Sales"/>
    <x v="0"/>
    <x v="2"/>
    <x v="169"/>
    <x v="168"/>
    <s v="Bank Transfer"/>
    <s v="TXN100170"/>
    <x v="0"/>
  </r>
  <r>
    <s v="2025-11-10 00:00:00"/>
    <x v="10"/>
    <s v="Sales"/>
    <x v="1"/>
    <x v="4"/>
    <x v="170"/>
    <x v="169"/>
    <s v="Bank Transfer"/>
    <s v="TXN100171"/>
    <x v="0"/>
  </r>
  <r>
    <s v="2025-11-10 00:00:00"/>
    <x v="10"/>
    <s v="Marketing"/>
    <x v="1"/>
    <x v="4"/>
    <x v="171"/>
    <x v="170"/>
    <s v="Cash"/>
    <s v="TXN100172"/>
    <x v="0"/>
  </r>
  <r>
    <s v="2025-11-10 00:00:00"/>
    <x v="10"/>
    <s v="Operations"/>
    <x v="2"/>
    <x v="0"/>
    <x v="172"/>
    <x v="171"/>
    <s v="Cash"/>
    <s v="TXN100173"/>
    <x v="0"/>
  </r>
  <r>
    <s v="2025-11-10 00:00:00"/>
    <x v="10"/>
    <s v="IT"/>
    <x v="2"/>
    <x v="4"/>
    <x v="173"/>
    <x v="172"/>
    <s v="Bank Transfer"/>
    <s v="TXN100174"/>
    <x v="0"/>
  </r>
  <r>
    <s v="2025-11-10 00:00:00"/>
    <x v="10"/>
    <s v="HR"/>
    <x v="3"/>
    <x v="0"/>
    <x v="174"/>
    <x v="173"/>
    <s v="Bank Transfer"/>
    <s v="TXN100175"/>
    <x v="0"/>
  </r>
  <r>
    <s v="2025-11-15 00:00:00"/>
    <x v="10"/>
    <s v="IT"/>
    <x v="4"/>
    <x v="2"/>
    <x v="175"/>
    <x v="174"/>
    <s v="Card"/>
    <s v="TXN100176"/>
    <x v="0"/>
  </r>
  <r>
    <s v="2025-11-15 00:00:00"/>
    <x v="10"/>
    <s v="IT"/>
    <x v="5"/>
    <x v="0"/>
    <x v="176"/>
    <x v="175"/>
    <s v="Cash"/>
    <s v="TXN100177"/>
    <x v="0"/>
  </r>
  <r>
    <s v="2025-11-12 00:00:00"/>
    <x v="10"/>
    <s v="Operations"/>
    <x v="6"/>
    <x v="1"/>
    <x v="177"/>
    <x v="176"/>
    <s v="Card"/>
    <s v="TXN100178"/>
    <x v="1"/>
  </r>
  <r>
    <s v="2025-11-12 00:00:00"/>
    <x v="10"/>
    <s v="Sales"/>
    <x v="6"/>
    <x v="3"/>
    <x v="178"/>
    <x v="177"/>
    <s v="Card"/>
    <s v="TXN100179"/>
    <x v="1"/>
  </r>
  <r>
    <s v="2025-11-12 00:00:00"/>
    <x v="10"/>
    <s v="Sales"/>
    <x v="6"/>
    <x v="1"/>
    <x v="179"/>
    <x v="178"/>
    <s v="Cash"/>
    <s v="TXN100180"/>
    <x v="1"/>
  </r>
  <r>
    <s v="2025-11-20 00:00:00"/>
    <x v="10"/>
    <s v="Sales"/>
    <x v="7"/>
    <x v="1"/>
    <x v="180"/>
    <x v="179"/>
    <s v="Card"/>
    <s v="TXN100181"/>
    <x v="1"/>
  </r>
  <r>
    <s v="2025-11-20 00:00:00"/>
    <x v="10"/>
    <s v="Sales"/>
    <x v="7"/>
    <x v="4"/>
    <x v="181"/>
    <x v="180"/>
    <s v="Bank Transfer"/>
    <s v="TXN100182"/>
    <x v="1"/>
  </r>
  <r>
    <s v="2025-12-25 00:00:00"/>
    <x v="11"/>
    <s v="Operations"/>
    <x v="0"/>
    <x v="0"/>
    <x v="182"/>
    <x v="181"/>
    <s v="Bank Transfer"/>
    <s v="TXN100183"/>
    <x v="0"/>
  </r>
  <r>
    <s v="2025-12-25 00:00:00"/>
    <x v="11"/>
    <s v="Finance"/>
    <x v="0"/>
    <x v="2"/>
    <x v="183"/>
    <x v="182"/>
    <s v="Bank Transfer"/>
    <s v="TXN100184"/>
    <x v="0"/>
  </r>
  <r>
    <s v="2025-12-25 00:00:00"/>
    <x v="11"/>
    <s v="Marketing"/>
    <x v="0"/>
    <x v="3"/>
    <x v="184"/>
    <x v="183"/>
    <s v="Bank Transfer"/>
    <s v="TXN100185"/>
    <x v="0"/>
  </r>
  <r>
    <s v="2025-12-25 00:00:00"/>
    <x v="11"/>
    <s v="IT"/>
    <x v="0"/>
    <x v="3"/>
    <x v="185"/>
    <x v="184"/>
    <s v="Bank Transfer"/>
    <s v="TXN100186"/>
    <x v="0"/>
  </r>
  <r>
    <s v="2025-12-25 00:00:00"/>
    <x v="11"/>
    <s v="HR"/>
    <x v="0"/>
    <x v="0"/>
    <x v="186"/>
    <x v="185"/>
    <s v="Bank Transfer"/>
    <s v="TXN100187"/>
    <x v="0"/>
  </r>
  <r>
    <s v="2025-12-25 00:00:00"/>
    <x v="11"/>
    <s v="Sales"/>
    <x v="0"/>
    <x v="1"/>
    <x v="187"/>
    <x v="186"/>
    <s v="Bank Transfer"/>
    <s v="TXN100188"/>
    <x v="0"/>
  </r>
  <r>
    <s v="2025-12-10 00:00:00"/>
    <x v="11"/>
    <s v="Sales"/>
    <x v="1"/>
    <x v="2"/>
    <x v="188"/>
    <x v="187"/>
    <s v="UPI"/>
    <s v="TXN100189"/>
    <x v="0"/>
  </r>
  <r>
    <s v="2025-12-10 00:00:00"/>
    <x v="11"/>
    <s v="Marketing"/>
    <x v="2"/>
    <x v="4"/>
    <x v="189"/>
    <x v="188"/>
    <s v="UPI"/>
    <s v="TXN100190"/>
    <x v="0"/>
  </r>
  <r>
    <s v="2025-12-10 00:00:00"/>
    <x v="11"/>
    <s v="IT"/>
    <x v="2"/>
    <x v="1"/>
    <x v="190"/>
    <x v="189"/>
    <s v="Bank Transfer"/>
    <s v="TXN100191"/>
    <x v="0"/>
  </r>
  <r>
    <s v="2025-12-10 00:00:00"/>
    <x v="11"/>
    <s v="Marketing"/>
    <x v="3"/>
    <x v="1"/>
    <x v="191"/>
    <x v="190"/>
    <s v="Bank Transfer"/>
    <s v="TXN100192"/>
    <x v="0"/>
  </r>
  <r>
    <s v="2025-12-10 00:00:00"/>
    <x v="11"/>
    <s v="HR"/>
    <x v="3"/>
    <x v="2"/>
    <x v="192"/>
    <x v="191"/>
    <s v="Bank Transfer"/>
    <s v="TXN100193"/>
    <x v="0"/>
  </r>
  <r>
    <s v="2025-12-15 00:00:00"/>
    <x v="11"/>
    <s v="HR"/>
    <x v="4"/>
    <x v="1"/>
    <x v="193"/>
    <x v="192"/>
    <s v="Card"/>
    <s v="TXN100194"/>
    <x v="0"/>
  </r>
  <r>
    <s v="2025-12-15 00:00:00"/>
    <x v="11"/>
    <s v="Marketing"/>
    <x v="5"/>
    <x v="3"/>
    <x v="194"/>
    <x v="193"/>
    <s v="Cash"/>
    <s v="TXN100195"/>
    <x v="0"/>
  </r>
  <r>
    <s v="2025-12-12 00:00:00"/>
    <x v="11"/>
    <s v="Marketing"/>
    <x v="6"/>
    <x v="0"/>
    <x v="195"/>
    <x v="194"/>
    <s v="Cash"/>
    <s v="TXN100196"/>
    <x v="1"/>
  </r>
  <r>
    <s v="2025-12-12 00:00:00"/>
    <x v="11"/>
    <s v="Sales"/>
    <x v="6"/>
    <x v="3"/>
    <x v="196"/>
    <x v="195"/>
    <s v="UPI"/>
    <s v="TXN100197"/>
    <x v="1"/>
  </r>
  <r>
    <s v="2025-12-12 00:00:00"/>
    <x v="11"/>
    <s v="Marketing"/>
    <x v="6"/>
    <x v="4"/>
    <x v="197"/>
    <x v="196"/>
    <s v="Bank Transfer"/>
    <s v="TXN100198"/>
    <x v="1"/>
  </r>
  <r>
    <s v="2025-12-12 00:00:00"/>
    <x v="11"/>
    <s v="Marketing"/>
    <x v="6"/>
    <x v="0"/>
    <x v="198"/>
    <x v="197"/>
    <s v="Bank Transfer"/>
    <s v="TXN100199"/>
    <x v="1"/>
  </r>
  <r>
    <s v="2025-12-20 00:00:00"/>
    <x v="11"/>
    <s v="Sales"/>
    <x v="7"/>
    <x v="1"/>
    <x v="199"/>
    <x v="198"/>
    <s v="Cash"/>
    <s v="TXN100200"/>
    <x v="1"/>
  </r>
  <r>
    <s v="2025-12-20 00:00:00"/>
    <x v="11"/>
    <s v="Sales"/>
    <x v="7"/>
    <x v="2"/>
    <x v="200"/>
    <x v="199"/>
    <s v="UPI"/>
    <s v="TXN10020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370994-8EF3-4257-86D6-1651EF5EAFA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8:W26" firstHeaderRow="1" firstDataRow="2" firstDataCol="1" rowPageCount="1" colPageCount="1"/>
  <pivotFields count="10">
    <pivotField showAll="0"/>
    <pivotField axis="axisCol" showAll="0">
      <items count="13">
        <item x="0"/>
        <item x="1"/>
        <item x="2"/>
        <item x="3"/>
        <item x="4"/>
        <item x="5"/>
        <item x="6"/>
        <item x="7"/>
        <item x="8"/>
        <item x="9"/>
        <item x="10"/>
        <item x="11"/>
        <item t="default"/>
      </items>
    </pivotField>
    <pivotField showAll="0"/>
    <pivotField axis="axisRow" showAll="0">
      <items count="9">
        <item x="2"/>
        <item x="3"/>
        <item x="6"/>
        <item x="0"/>
        <item x="7"/>
        <item x="5"/>
        <item x="4"/>
        <item x="1"/>
        <item t="default"/>
      </items>
    </pivotField>
    <pivotField showAll="0"/>
    <pivotField numFmtId="165" showAll="0">
      <items count="202">
        <item x="59"/>
        <item x="78"/>
        <item x="175"/>
        <item x="109"/>
        <item x="140"/>
        <item x="45"/>
        <item x="139"/>
        <item x="77"/>
        <item x="176"/>
        <item x="27"/>
        <item x="158"/>
        <item x="93"/>
        <item x="28"/>
        <item x="194"/>
        <item x="89"/>
        <item x="91"/>
        <item x="154"/>
        <item x="193"/>
        <item x="92"/>
        <item x="10"/>
        <item x="43"/>
        <item x="124"/>
        <item x="11"/>
        <item x="173"/>
        <item x="73"/>
        <item x="189"/>
        <item x="44"/>
        <item x="108"/>
        <item x="107"/>
        <item x="174"/>
        <item x="58"/>
        <item x="56"/>
        <item x="55"/>
        <item x="123"/>
        <item x="155"/>
        <item x="192"/>
        <item x="121"/>
        <item x="138"/>
        <item x="153"/>
        <item x="23"/>
        <item x="120"/>
        <item x="74"/>
        <item x="105"/>
        <item x="152"/>
        <item x="42"/>
        <item x="8"/>
        <item x="172"/>
        <item x="9"/>
        <item x="40"/>
        <item x="122"/>
        <item x="57"/>
        <item x="190"/>
        <item x="75"/>
        <item x="25"/>
        <item x="156"/>
        <item x="7"/>
        <item x="72"/>
        <item x="170"/>
        <item x="6"/>
        <item x="157"/>
        <item x="191"/>
        <item x="136"/>
        <item x="137"/>
        <item x="90"/>
        <item x="26"/>
        <item x="188"/>
        <item x="106"/>
        <item x="76"/>
        <item x="171"/>
        <item x="48"/>
        <item x="24"/>
        <item x="41"/>
        <item x="83"/>
        <item x="4"/>
        <item x="169"/>
        <item x="34"/>
        <item x="3"/>
        <item x="53"/>
        <item x="67"/>
        <item x="36"/>
        <item x="37"/>
        <item x="131"/>
        <item x="128"/>
        <item x="21"/>
        <item x="87"/>
        <item x="18"/>
        <item x="1"/>
        <item x="49"/>
        <item x="135"/>
        <item x="85"/>
        <item x="134"/>
        <item x="51"/>
        <item x="101"/>
        <item x="132"/>
        <item x="133"/>
        <item x="88"/>
        <item x="167"/>
        <item x="147"/>
        <item x="70"/>
        <item x="86"/>
        <item x="19"/>
        <item x="38"/>
        <item x="185"/>
        <item x="119"/>
        <item x="103"/>
        <item x="52"/>
        <item x="50"/>
        <item x="116"/>
        <item x="66"/>
        <item x="163"/>
        <item x="98"/>
        <item x="118"/>
        <item x="5"/>
        <item x="68"/>
        <item x="104"/>
        <item x="100"/>
        <item x="165"/>
        <item x="102"/>
        <item x="99"/>
        <item x="150"/>
        <item x="0"/>
        <item x="82"/>
        <item x="130"/>
        <item x="186"/>
        <item x="33"/>
        <item x="184"/>
        <item x="2"/>
        <item x="17"/>
        <item x="182"/>
        <item x="148"/>
        <item x="168"/>
        <item x="164"/>
        <item x="149"/>
        <item x="39"/>
        <item x="35"/>
        <item x="151"/>
        <item x="84"/>
        <item x="183"/>
        <item x="146"/>
        <item x="187"/>
        <item x="114"/>
        <item x="166"/>
        <item x="71"/>
        <item x="54"/>
        <item x="117"/>
        <item x="181"/>
        <item x="69"/>
        <item x="22"/>
        <item x="115"/>
        <item x="20"/>
        <item x="65"/>
        <item x="97"/>
        <item x="129"/>
        <item x="64"/>
        <item x="200"/>
        <item x="113"/>
        <item x="16"/>
        <item x="32"/>
        <item x="145"/>
        <item x="199"/>
        <item x="112"/>
        <item x="144"/>
        <item x="180"/>
        <item x="94"/>
        <item x="111"/>
        <item x="12"/>
        <item x="15"/>
        <item x="142"/>
        <item x="60"/>
        <item x="62"/>
        <item x="96"/>
        <item x="31"/>
        <item x="179"/>
        <item x="110"/>
        <item x="178"/>
        <item x="162"/>
        <item x="13"/>
        <item x="61"/>
        <item x="159"/>
        <item x="81"/>
        <item x="63"/>
        <item x="143"/>
        <item x="80"/>
        <item x="196"/>
        <item x="161"/>
        <item x="14"/>
        <item x="127"/>
        <item x="197"/>
        <item x="125"/>
        <item x="47"/>
        <item x="95"/>
        <item x="29"/>
        <item x="198"/>
        <item x="46"/>
        <item x="126"/>
        <item x="195"/>
        <item x="30"/>
        <item x="160"/>
        <item x="177"/>
        <item x="141"/>
        <item x="79"/>
        <item t="default"/>
      </items>
    </pivotField>
    <pivotField dataField="1" numFmtId="165" showAll="0">
      <items count="201">
        <item x="59"/>
        <item x="78"/>
        <item x="174"/>
        <item x="108"/>
        <item x="77"/>
        <item x="45"/>
        <item x="139"/>
        <item x="138"/>
        <item x="175"/>
        <item x="93"/>
        <item x="27"/>
        <item x="157"/>
        <item x="91"/>
        <item x="92"/>
        <item x="28"/>
        <item x="193"/>
        <item x="153"/>
        <item x="89"/>
        <item x="10"/>
        <item x="106"/>
        <item x="192"/>
        <item x="44"/>
        <item x="123"/>
        <item x="43"/>
        <item x="173"/>
        <item x="58"/>
        <item x="188"/>
        <item x="11"/>
        <item x="56"/>
        <item x="55"/>
        <item x="172"/>
        <item x="107"/>
        <item x="73"/>
        <item x="137"/>
        <item x="154"/>
        <item x="23"/>
        <item x="120"/>
        <item x="74"/>
        <item x="119"/>
        <item x="42"/>
        <item x="122"/>
        <item x="171"/>
        <item x="104"/>
        <item x="152"/>
        <item x="8"/>
        <item x="9"/>
        <item x="191"/>
        <item x="121"/>
        <item x="151"/>
        <item x="155"/>
        <item x="57"/>
        <item x="40"/>
        <item x="75"/>
        <item x="25"/>
        <item x="189"/>
        <item x="7"/>
        <item x="136"/>
        <item x="190"/>
        <item x="156"/>
        <item x="90"/>
        <item x="170"/>
        <item x="187"/>
        <item x="72"/>
        <item x="6"/>
        <item x="76"/>
        <item x="135"/>
        <item x="169"/>
        <item x="26"/>
        <item x="4"/>
        <item x="83"/>
        <item x="53"/>
        <item x="41"/>
        <item x="67"/>
        <item x="48"/>
        <item x="24"/>
        <item x="3"/>
        <item x="168"/>
        <item x="34"/>
        <item x="130"/>
        <item x="37"/>
        <item x="36"/>
        <item x="105"/>
        <item x="87"/>
        <item x="49"/>
        <item x="1"/>
        <item x="85"/>
        <item x="21"/>
        <item x="101"/>
        <item x="18"/>
        <item x="51"/>
        <item x="131"/>
        <item x="134"/>
        <item x="133"/>
        <item x="166"/>
        <item x="88"/>
        <item x="70"/>
        <item x="132"/>
        <item x="19"/>
        <item x="184"/>
        <item x="146"/>
        <item x="118"/>
        <item x="50"/>
        <item x="115"/>
        <item x="86"/>
        <item x="102"/>
        <item x="66"/>
        <item x="68"/>
        <item x="38"/>
        <item x="52"/>
        <item x="117"/>
        <item x="103"/>
        <item x="162"/>
        <item x="5"/>
        <item x="164"/>
        <item x="0"/>
        <item x="100"/>
        <item x="185"/>
        <item x="33"/>
        <item x="99"/>
        <item x="98"/>
        <item x="129"/>
        <item x="127"/>
        <item x="181"/>
        <item x="149"/>
        <item x="147"/>
        <item x="17"/>
        <item x="183"/>
        <item x="2"/>
        <item x="167"/>
        <item x="148"/>
        <item x="163"/>
        <item x="35"/>
        <item x="54"/>
        <item x="150"/>
        <item x="186"/>
        <item x="39"/>
        <item x="165"/>
        <item x="69"/>
        <item x="145"/>
        <item x="182"/>
        <item x="71"/>
        <item x="84"/>
        <item x="114"/>
        <item x="116"/>
        <item x="113"/>
        <item x="22"/>
        <item x="20"/>
        <item x="82"/>
        <item x="97"/>
        <item x="180"/>
        <item x="64"/>
        <item x="199"/>
        <item x="65"/>
        <item x="32"/>
        <item x="128"/>
        <item x="16"/>
        <item x="112"/>
        <item x="143"/>
        <item x="144"/>
        <item x="198"/>
        <item x="179"/>
        <item x="111"/>
        <item x="94"/>
        <item x="12"/>
        <item x="110"/>
        <item x="62"/>
        <item x="15"/>
        <item x="141"/>
        <item x="60"/>
        <item x="31"/>
        <item x="96"/>
        <item x="161"/>
        <item x="177"/>
        <item x="178"/>
        <item x="63"/>
        <item x="158"/>
        <item x="61"/>
        <item x="109"/>
        <item x="81"/>
        <item x="80"/>
        <item x="13"/>
        <item x="195"/>
        <item x="14"/>
        <item x="95"/>
        <item x="126"/>
        <item x="142"/>
        <item x="29"/>
        <item x="197"/>
        <item x="160"/>
        <item x="47"/>
        <item x="124"/>
        <item x="125"/>
        <item x="196"/>
        <item x="46"/>
        <item x="159"/>
        <item x="194"/>
        <item x="30"/>
        <item x="79"/>
        <item x="176"/>
        <item x="140"/>
        <item t="default"/>
      </items>
    </pivotField>
    <pivotField showAll="0"/>
    <pivotField showAll="0"/>
    <pivotField axis="axisPage" showAll="0">
      <items count="3">
        <item x="0"/>
        <item x="1"/>
        <item t="default"/>
      </items>
    </pivotField>
  </pivotFields>
  <rowFields count="1">
    <field x="3"/>
  </rowFields>
  <rowItems count="7">
    <i>
      <x/>
    </i>
    <i>
      <x v="1"/>
    </i>
    <i>
      <x v="3"/>
    </i>
    <i>
      <x v="5"/>
    </i>
    <i>
      <x v="6"/>
    </i>
    <i>
      <x v="7"/>
    </i>
    <i t="grand">
      <x/>
    </i>
  </rowItems>
  <colFields count="1">
    <field x="1"/>
  </colFields>
  <colItems count="13">
    <i>
      <x/>
    </i>
    <i>
      <x v="1"/>
    </i>
    <i>
      <x v="2"/>
    </i>
    <i>
      <x v="3"/>
    </i>
    <i>
      <x v="4"/>
    </i>
    <i>
      <x v="5"/>
    </i>
    <i>
      <x v="6"/>
    </i>
    <i>
      <x v="7"/>
    </i>
    <i>
      <x v="8"/>
    </i>
    <i>
      <x v="9"/>
    </i>
    <i>
      <x v="10"/>
    </i>
    <i>
      <x v="11"/>
    </i>
    <i t="grand">
      <x/>
    </i>
  </colItems>
  <pageFields count="1">
    <pageField fld="9" item="0" hier="-1"/>
  </pageFields>
  <dataFields count="1">
    <dataField name="Sum of Actual Amount" fld="6" baseField="0" baseItem="0" numFmtId="165"/>
  </dataFields>
  <chartFormats count="216">
    <chartFormat chart="1" format="12" series="1">
      <pivotArea type="data" outline="0" fieldPosition="0">
        <references count="2">
          <reference field="4294967294" count="1" selected="0">
            <x v="0"/>
          </reference>
          <reference field="1" count="1" selected="0">
            <x v="0"/>
          </reference>
        </references>
      </pivotArea>
    </chartFormat>
    <chartFormat chart="1" format="13">
      <pivotArea type="data" outline="0" fieldPosition="0">
        <references count="3">
          <reference field="4294967294" count="1" selected="0">
            <x v="0"/>
          </reference>
          <reference field="1" count="1" selected="0">
            <x v="0"/>
          </reference>
          <reference field="3" count="1" selected="0">
            <x v="0"/>
          </reference>
        </references>
      </pivotArea>
    </chartFormat>
    <chartFormat chart="1" format="14">
      <pivotArea type="data" outline="0" fieldPosition="0">
        <references count="3">
          <reference field="4294967294" count="1" selected="0">
            <x v="0"/>
          </reference>
          <reference field="1" count="1" selected="0">
            <x v="0"/>
          </reference>
          <reference field="3" count="1" selected="0">
            <x v="1"/>
          </reference>
        </references>
      </pivotArea>
    </chartFormat>
    <chartFormat chart="1" format="15">
      <pivotArea type="data" outline="0" fieldPosition="0">
        <references count="3">
          <reference field="4294967294" count="1" selected="0">
            <x v="0"/>
          </reference>
          <reference field="1" count="1" selected="0">
            <x v="0"/>
          </reference>
          <reference field="3" count="1" selected="0">
            <x v="2"/>
          </reference>
        </references>
      </pivotArea>
    </chartFormat>
    <chartFormat chart="1" format="16">
      <pivotArea type="data" outline="0" fieldPosition="0">
        <references count="3">
          <reference field="4294967294" count="1" selected="0">
            <x v="0"/>
          </reference>
          <reference field="1" count="1" selected="0">
            <x v="0"/>
          </reference>
          <reference field="3" count="1" selected="0">
            <x v="3"/>
          </reference>
        </references>
      </pivotArea>
    </chartFormat>
    <chartFormat chart="1" format="17">
      <pivotArea type="data" outline="0" fieldPosition="0">
        <references count="3">
          <reference field="4294967294" count="1" selected="0">
            <x v="0"/>
          </reference>
          <reference field="1" count="1" selected="0">
            <x v="0"/>
          </reference>
          <reference field="3" count="1" selected="0">
            <x v="4"/>
          </reference>
        </references>
      </pivotArea>
    </chartFormat>
    <chartFormat chart="1" format="18">
      <pivotArea type="data" outline="0" fieldPosition="0">
        <references count="3">
          <reference field="4294967294" count="1" selected="0">
            <x v="0"/>
          </reference>
          <reference field="1" count="1" selected="0">
            <x v="0"/>
          </reference>
          <reference field="3" count="1" selected="0">
            <x v="5"/>
          </reference>
        </references>
      </pivotArea>
    </chartFormat>
    <chartFormat chart="1" format="19">
      <pivotArea type="data" outline="0" fieldPosition="0">
        <references count="3">
          <reference field="4294967294" count="1" selected="0">
            <x v="0"/>
          </reference>
          <reference field="1" count="1" selected="0">
            <x v="0"/>
          </reference>
          <reference field="3" count="1" selected="0">
            <x v="6"/>
          </reference>
        </references>
      </pivotArea>
    </chartFormat>
    <chartFormat chart="1" format="20">
      <pivotArea type="data" outline="0" fieldPosition="0">
        <references count="3">
          <reference field="4294967294" count="1" selected="0">
            <x v="0"/>
          </reference>
          <reference field="1" count="1" selected="0">
            <x v="0"/>
          </reference>
          <reference field="3" count="1" selected="0">
            <x v="7"/>
          </reference>
        </references>
      </pivotArea>
    </chartFormat>
    <chartFormat chart="1" format="21" series="1">
      <pivotArea type="data" outline="0" fieldPosition="0">
        <references count="2">
          <reference field="4294967294" count="1" selected="0">
            <x v="0"/>
          </reference>
          <reference field="1" count="1" selected="0">
            <x v="1"/>
          </reference>
        </references>
      </pivotArea>
    </chartFormat>
    <chartFormat chart="1" format="22">
      <pivotArea type="data" outline="0" fieldPosition="0">
        <references count="3">
          <reference field="4294967294" count="1" selected="0">
            <x v="0"/>
          </reference>
          <reference field="1" count="1" selected="0">
            <x v="1"/>
          </reference>
          <reference field="3" count="1" selected="0">
            <x v="0"/>
          </reference>
        </references>
      </pivotArea>
    </chartFormat>
    <chartFormat chart="1" format="23">
      <pivotArea type="data" outline="0" fieldPosition="0">
        <references count="3">
          <reference field="4294967294" count="1" selected="0">
            <x v="0"/>
          </reference>
          <reference field="1" count="1" selected="0">
            <x v="1"/>
          </reference>
          <reference field="3" count="1" selected="0">
            <x v="1"/>
          </reference>
        </references>
      </pivotArea>
    </chartFormat>
    <chartFormat chart="1" format="24">
      <pivotArea type="data" outline="0" fieldPosition="0">
        <references count="3">
          <reference field="4294967294" count="1" selected="0">
            <x v="0"/>
          </reference>
          <reference field="1" count="1" selected="0">
            <x v="1"/>
          </reference>
          <reference field="3" count="1" selected="0">
            <x v="2"/>
          </reference>
        </references>
      </pivotArea>
    </chartFormat>
    <chartFormat chart="1" format="25">
      <pivotArea type="data" outline="0" fieldPosition="0">
        <references count="3">
          <reference field="4294967294" count="1" selected="0">
            <x v="0"/>
          </reference>
          <reference field="1" count="1" selected="0">
            <x v="1"/>
          </reference>
          <reference field="3" count="1" selected="0">
            <x v="3"/>
          </reference>
        </references>
      </pivotArea>
    </chartFormat>
    <chartFormat chart="1" format="26">
      <pivotArea type="data" outline="0" fieldPosition="0">
        <references count="3">
          <reference field="4294967294" count="1" selected="0">
            <x v="0"/>
          </reference>
          <reference field="1" count="1" selected="0">
            <x v="1"/>
          </reference>
          <reference field="3" count="1" selected="0">
            <x v="4"/>
          </reference>
        </references>
      </pivotArea>
    </chartFormat>
    <chartFormat chart="1" format="27">
      <pivotArea type="data" outline="0" fieldPosition="0">
        <references count="3">
          <reference field="4294967294" count="1" selected="0">
            <x v="0"/>
          </reference>
          <reference field="1" count="1" selected="0">
            <x v="1"/>
          </reference>
          <reference field="3" count="1" selected="0">
            <x v="5"/>
          </reference>
        </references>
      </pivotArea>
    </chartFormat>
    <chartFormat chart="1" format="28">
      <pivotArea type="data" outline="0" fieldPosition="0">
        <references count="3">
          <reference field="4294967294" count="1" selected="0">
            <x v="0"/>
          </reference>
          <reference field="1" count="1" selected="0">
            <x v="1"/>
          </reference>
          <reference field="3" count="1" selected="0">
            <x v="6"/>
          </reference>
        </references>
      </pivotArea>
    </chartFormat>
    <chartFormat chart="1" format="29">
      <pivotArea type="data" outline="0" fieldPosition="0">
        <references count="3">
          <reference field="4294967294" count="1" selected="0">
            <x v="0"/>
          </reference>
          <reference field="1" count="1" selected="0">
            <x v="1"/>
          </reference>
          <reference field="3" count="1" selected="0">
            <x v="7"/>
          </reference>
        </references>
      </pivotArea>
    </chartFormat>
    <chartFormat chart="1" format="30" series="1">
      <pivotArea type="data" outline="0" fieldPosition="0">
        <references count="2">
          <reference field="4294967294" count="1" selected="0">
            <x v="0"/>
          </reference>
          <reference field="1" count="1" selected="0">
            <x v="2"/>
          </reference>
        </references>
      </pivotArea>
    </chartFormat>
    <chartFormat chart="1" format="31">
      <pivotArea type="data" outline="0" fieldPosition="0">
        <references count="3">
          <reference field="4294967294" count="1" selected="0">
            <x v="0"/>
          </reference>
          <reference field="1" count="1" selected="0">
            <x v="2"/>
          </reference>
          <reference field="3" count="1" selected="0">
            <x v="0"/>
          </reference>
        </references>
      </pivotArea>
    </chartFormat>
    <chartFormat chart="1" format="32">
      <pivotArea type="data" outline="0" fieldPosition="0">
        <references count="3">
          <reference field="4294967294" count="1" selected="0">
            <x v="0"/>
          </reference>
          <reference field="1" count="1" selected="0">
            <x v="2"/>
          </reference>
          <reference field="3" count="1" selected="0">
            <x v="1"/>
          </reference>
        </references>
      </pivotArea>
    </chartFormat>
    <chartFormat chart="1" format="33">
      <pivotArea type="data" outline="0" fieldPosition="0">
        <references count="3">
          <reference field="4294967294" count="1" selected="0">
            <x v="0"/>
          </reference>
          <reference field="1" count="1" selected="0">
            <x v="2"/>
          </reference>
          <reference field="3" count="1" selected="0">
            <x v="2"/>
          </reference>
        </references>
      </pivotArea>
    </chartFormat>
    <chartFormat chart="1" format="34">
      <pivotArea type="data" outline="0" fieldPosition="0">
        <references count="3">
          <reference field="4294967294" count="1" selected="0">
            <x v="0"/>
          </reference>
          <reference field="1" count="1" selected="0">
            <x v="2"/>
          </reference>
          <reference field="3" count="1" selected="0">
            <x v="3"/>
          </reference>
        </references>
      </pivotArea>
    </chartFormat>
    <chartFormat chart="1" format="35">
      <pivotArea type="data" outline="0" fieldPosition="0">
        <references count="3">
          <reference field="4294967294" count="1" selected="0">
            <x v="0"/>
          </reference>
          <reference field="1" count="1" selected="0">
            <x v="2"/>
          </reference>
          <reference field="3" count="1" selected="0">
            <x v="4"/>
          </reference>
        </references>
      </pivotArea>
    </chartFormat>
    <chartFormat chart="1" format="36">
      <pivotArea type="data" outline="0" fieldPosition="0">
        <references count="3">
          <reference field="4294967294" count="1" selected="0">
            <x v="0"/>
          </reference>
          <reference field="1" count="1" selected="0">
            <x v="2"/>
          </reference>
          <reference field="3" count="1" selected="0">
            <x v="5"/>
          </reference>
        </references>
      </pivotArea>
    </chartFormat>
    <chartFormat chart="1" format="37">
      <pivotArea type="data" outline="0" fieldPosition="0">
        <references count="3">
          <reference field="4294967294" count="1" selected="0">
            <x v="0"/>
          </reference>
          <reference field="1" count="1" selected="0">
            <x v="2"/>
          </reference>
          <reference field="3" count="1" selected="0">
            <x v="6"/>
          </reference>
        </references>
      </pivotArea>
    </chartFormat>
    <chartFormat chart="1" format="38">
      <pivotArea type="data" outline="0" fieldPosition="0">
        <references count="3">
          <reference field="4294967294" count="1" selected="0">
            <x v="0"/>
          </reference>
          <reference field="1" count="1" selected="0">
            <x v="2"/>
          </reference>
          <reference field="3" count="1" selected="0">
            <x v="7"/>
          </reference>
        </references>
      </pivotArea>
    </chartFormat>
    <chartFormat chart="1" format="39" series="1">
      <pivotArea type="data" outline="0" fieldPosition="0">
        <references count="2">
          <reference field="4294967294" count="1" selected="0">
            <x v="0"/>
          </reference>
          <reference field="1" count="1" selected="0">
            <x v="3"/>
          </reference>
        </references>
      </pivotArea>
    </chartFormat>
    <chartFormat chart="1" format="40">
      <pivotArea type="data" outline="0" fieldPosition="0">
        <references count="3">
          <reference field="4294967294" count="1" selected="0">
            <x v="0"/>
          </reference>
          <reference field="1" count="1" selected="0">
            <x v="3"/>
          </reference>
          <reference field="3" count="1" selected="0">
            <x v="0"/>
          </reference>
        </references>
      </pivotArea>
    </chartFormat>
    <chartFormat chart="1" format="41">
      <pivotArea type="data" outline="0" fieldPosition="0">
        <references count="3">
          <reference field="4294967294" count="1" selected="0">
            <x v="0"/>
          </reference>
          <reference field="1" count="1" selected="0">
            <x v="3"/>
          </reference>
          <reference field="3" count="1" selected="0">
            <x v="1"/>
          </reference>
        </references>
      </pivotArea>
    </chartFormat>
    <chartFormat chart="1" format="42">
      <pivotArea type="data" outline="0" fieldPosition="0">
        <references count="3">
          <reference field="4294967294" count="1" selected="0">
            <x v="0"/>
          </reference>
          <reference field="1" count="1" selected="0">
            <x v="3"/>
          </reference>
          <reference field="3" count="1" selected="0">
            <x v="2"/>
          </reference>
        </references>
      </pivotArea>
    </chartFormat>
    <chartFormat chart="1" format="43">
      <pivotArea type="data" outline="0" fieldPosition="0">
        <references count="3">
          <reference field="4294967294" count="1" selected="0">
            <x v="0"/>
          </reference>
          <reference field="1" count="1" selected="0">
            <x v="3"/>
          </reference>
          <reference field="3" count="1" selected="0">
            <x v="3"/>
          </reference>
        </references>
      </pivotArea>
    </chartFormat>
    <chartFormat chart="1" format="44">
      <pivotArea type="data" outline="0" fieldPosition="0">
        <references count="3">
          <reference field="4294967294" count="1" selected="0">
            <x v="0"/>
          </reference>
          <reference field="1" count="1" selected="0">
            <x v="3"/>
          </reference>
          <reference field="3" count="1" selected="0">
            <x v="4"/>
          </reference>
        </references>
      </pivotArea>
    </chartFormat>
    <chartFormat chart="1" format="45">
      <pivotArea type="data" outline="0" fieldPosition="0">
        <references count="3">
          <reference field="4294967294" count="1" selected="0">
            <x v="0"/>
          </reference>
          <reference field="1" count="1" selected="0">
            <x v="3"/>
          </reference>
          <reference field="3" count="1" selected="0">
            <x v="5"/>
          </reference>
        </references>
      </pivotArea>
    </chartFormat>
    <chartFormat chart="1" format="46">
      <pivotArea type="data" outline="0" fieldPosition="0">
        <references count="3">
          <reference field="4294967294" count="1" selected="0">
            <x v="0"/>
          </reference>
          <reference field="1" count="1" selected="0">
            <x v="3"/>
          </reference>
          <reference field="3" count="1" selected="0">
            <x v="6"/>
          </reference>
        </references>
      </pivotArea>
    </chartFormat>
    <chartFormat chart="1" format="47">
      <pivotArea type="data" outline="0" fieldPosition="0">
        <references count="3">
          <reference field="4294967294" count="1" selected="0">
            <x v="0"/>
          </reference>
          <reference field="1" count="1" selected="0">
            <x v="3"/>
          </reference>
          <reference field="3" count="1" selected="0">
            <x v="7"/>
          </reference>
        </references>
      </pivotArea>
    </chartFormat>
    <chartFormat chart="1" format="48" series="1">
      <pivotArea type="data" outline="0" fieldPosition="0">
        <references count="2">
          <reference field="4294967294" count="1" selected="0">
            <x v="0"/>
          </reference>
          <reference field="1" count="1" selected="0">
            <x v="4"/>
          </reference>
        </references>
      </pivotArea>
    </chartFormat>
    <chartFormat chart="1" format="49">
      <pivotArea type="data" outline="0" fieldPosition="0">
        <references count="3">
          <reference field="4294967294" count="1" selected="0">
            <x v="0"/>
          </reference>
          <reference field="1" count="1" selected="0">
            <x v="4"/>
          </reference>
          <reference field="3" count="1" selected="0">
            <x v="0"/>
          </reference>
        </references>
      </pivotArea>
    </chartFormat>
    <chartFormat chart="1" format="50">
      <pivotArea type="data" outline="0" fieldPosition="0">
        <references count="3">
          <reference field="4294967294" count="1" selected="0">
            <x v="0"/>
          </reference>
          <reference field="1" count="1" selected="0">
            <x v="4"/>
          </reference>
          <reference field="3" count="1" selected="0">
            <x v="1"/>
          </reference>
        </references>
      </pivotArea>
    </chartFormat>
    <chartFormat chart="1" format="51">
      <pivotArea type="data" outline="0" fieldPosition="0">
        <references count="3">
          <reference field="4294967294" count="1" selected="0">
            <x v="0"/>
          </reference>
          <reference field="1" count="1" selected="0">
            <x v="4"/>
          </reference>
          <reference field="3" count="1" selected="0">
            <x v="2"/>
          </reference>
        </references>
      </pivotArea>
    </chartFormat>
    <chartFormat chart="1" format="52">
      <pivotArea type="data" outline="0" fieldPosition="0">
        <references count="3">
          <reference field="4294967294" count="1" selected="0">
            <x v="0"/>
          </reference>
          <reference field="1" count="1" selected="0">
            <x v="4"/>
          </reference>
          <reference field="3" count="1" selected="0">
            <x v="3"/>
          </reference>
        </references>
      </pivotArea>
    </chartFormat>
    <chartFormat chart="1" format="53">
      <pivotArea type="data" outline="0" fieldPosition="0">
        <references count="3">
          <reference field="4294967294" count="1" selected="0">
            <x v="0"/>
          </reference>
          <reference field="1" count="1" selected="0">
            <x v="4"/>
          </reference>
          <reference field="3" count="1" selected="0">
            <x v="4"/>
          </reference>
        </references>
      </pivotArea>
    </chartFormat>
    <chartFormat chart="1" format="54">
      <pivotArea type="data" outline="0" fieldPosition="0">
        <references count="3">
          <reference field="4294967294" count="1" selected="0">
            <x v="0"/>
          </reference>
          <reference field="1" count="1" selected="0">
            <x v="4"/>
          </reference>
          <reference field="3" count="1" selected="0">
            <x v="5"/>
          </reference>
        </references>
      </pivotArea>
    </chartFormat>
    <chartFormat chart="1" format="55">
      <pivotArea type="data" outline="0" fieldPosition="0">
        <references count="3">
          <reference field="4294967294" count="1" selected="0">
            <x v="0"/>
          </reference>
          <reference field="1" count="1" selected="0">
            <x v="4"/>
          </reference>
          <reference field="3" count="1" selected="0">
            <x v="6"/>
          </reference>
        </references>
      </pivotArea>
    </chartFormat>
    <chartFormat chart="1" format="56">
      <pivotArea type="data" outline="0" fieldPosition="0">
        <references count="3">
          <reference field="4294967294" count="1" selected="0">
            <x v="0"/>
          </reference>
          <reference field="1" count="1" selected="0">
            <x v="4"/>
          </reference>
          <reference field="3" count="1" selected="0">
            <x v="7"/>
          </reference>
        </references>
      </pivotArea>
    </chartFormat>
    <chartFormat chart="1" format="57" series="1">
      <pivotArea type="data" outline="0" fieldPosition="0">
        <references count="2">
          <reference field="4294967294" count="1" selected="0">
            <x v="0"/>
          </reference>
          <reference field="1" count="1" selected="0">
            <x v="5"/>
          </reference>
        </references>
      </pivotArea>
    </chartFormat>
    <chartFormat chart="1" format="58">
      <pivotArea type="data" outline="0" fieldPosition="0">
        <references count="3">
          <reference field="4294967294" count="1" selected="0">
            <x v="0"/>
          </reference>
          <reference field="1" count="1" selected="0">
            <x v="5"/>
          </reference>
          <reference field="3" count="1" selected="0">
            <x v="0"/>
          </reference>
        </references>
      </pivotArea>
    </chartFormat>
    <chartFormat chart="1" format="59">
      <pivotArea type="data" outline="0" fieldPosition="0">
        <references count="3">
          <reference field="4294967294" count="1" selected="0">
            <x v="0"/>
          </reference>
          <reference field="1" count="1" selected="0">
            <x v="5"/>
          </reference>
          <reference field="3" count="1" selected="0">
            <x v="1"/>
          </reference>
        </references>
      </pivotArea>
    </chartFormat>
    <chartFormat chart="1" format="60">
      <pivotArea type="data" outline="0" fieldPosition="0">
        <references count="3">
          <reference field="4294967294" count="1" selected="0">
            <x v="0"/>
          </reference>
          <reference field="1" count="1" selected="0">
            <x v="5"/>
          </reference>
          <reference field="3" count="1" selected="0">
            <x v="2"/>
          </reference>
        </references>
      </pivotArea>
    </chartFormat>
    <chartFormat chart="1" format="61">
      <pivotArea type="data" outline="0" fieldPosition="0">
        <references count="3">
          <reference field="4294967294" count="1" selected="0">
            <x v="0"/>
          </reference>
          <reference field="1" count="1" selected="0">
            <x v="5"/>
          </reference>
          <reference field="3" count="1" selected="0">
            <x v="3"/>
          </reference>
        </references>
      </pivotArea>
    </chartFormat>
    <chartFormat chart="1" format="62">
      <pivotArea type="data" outline="0" fieldPosition="0">
        <references count="3">
          <reference field="4294967294" count="1" selected="0">
            <x v="0"/>
          </reference>
          <reference field="1" count="1" selected="0">
            <x v="5"/>
          </reference>
          <reference field="3" count="1" selected="0">
            <x v="4"/>
          </reference>
        </references>
      </pivotArea>
    </chartFormat>
    <chartFormat chart="1" format="63">
      <pivotArea type="data" outline="0" fieldPosition="0">
        <references count="3">
          <reference field="4294967294" count="1" selected="0">
            <x v="0"/>
          </reference>
          <reference field="1" count="1" selected="0">
            <x v="5"/>
          </reference>
          <reference field="3" count="1" selected="0">
            <x v="5"/>
          </reference>
        </references>
      </pivotArea>
    </chartFormat>
    <chartFormat chart="1" format="64">
      <pivotArea type="data" outline="0" fieldPosition="0">
        <references count="3">
          <reference field="4294967294" count="1" selected="0">
            <x v="0"/>
          </reference>
          <reference field="1" count="1" selected="0">
            <x v="5"/>
          </reference>
          <reference field="3" count="1" selected="0">
            <x v="6"/>
          </reference>
        </references>
      </pivotArea>
    </chartFormat>
    <chartFormat chart="1" format="65">
      <pivotArea type="data" outline="0" fieldPosition="0">
        <references count="3">
          <reference field="4294967294" count="1" selected="0">
            <x v="0"/>
          </reference>
          <reference field="1" count="1" selected="0">
            <x v="5"/>
          </reference>
          <reference field="3" count="1" selected="0">
            <x v="7"/>
          </reference>
        </references>
      </pivotArea>
    </chartFormat>
    <chartFormat chart="1" format="66" series="1">
      <pivotArea type="data" outline="0" fieldPosition="0">
        <references count="2">
          <reference field="4294967294" count="1" selected="0">
            <x v="0"/>
          </reference>
          <reference field="1" count="1" selected="0">
            <x v="6"/>
          </reference>
        </references>
      </pivotArea>
    </chartFormat>
    <chartFormat chart="1" format="67">
      <pivotArea type="data" outline="0" fieldPosition="0">
        <references count="3">
          <reference field="4294967294" count="1" selected="0">
            <x v="0"/>
          </reference>
          <reference field="1" count="1" selected="0">
            <x v="6"/>
          </reference>
          <reference field="3" count="1" selected="0">
            <x v="0"/>
          </reference>
        </references>
      </pivotArea>
    </chartFormat>
    <chartFormat chart="1" format="68">
      <pivotArea type="data" outline="0" fieldPosition="0">
        <references count="3">
          <reference field="4294967294" count="1" selected="0">
            <x v="0"/>
          </reference>
          <reference field="1" count="1" selected="0">
            <x v="6"/>
          </reference>
          <reference field="3" count="1" selected="0">
            <x v="1"/>
          </reference>
        </references>
      </pivotArea>
    </chartFormat>
    <chartFormat chart="1" format="69">
      <pivotArea type="data" outline="0" fieldPosition="0">
        <references count="3">
          <reference field="4294967294" count="1" selected="0">
            <x v="0"/>
          </reference>
          <reference field="1" count="1" selected="0">
            <x v="6"/>
          </reference>
          <reference field="3" count="1" selected="0">
            <x v="2"/>
          </reference>
        </references>
      </pivotArea>
    </chartFormat>
    <chartFormat chart="1" format="70">
      <pivotArea type="data" outline="0" fieldPosition="0">
        <references count="3">
          <reference field="4294967294" count="1" selected="0">
            <x v="0"/>
          </reference>
          <reference field="1" count="1" selected="0">
            <x v="6"/>
          </reference>
          <reference field="3" count="1" selected="0">
            <x v="3"/>
          </reference>
        </references>
      </pivotArea>
    </chartFormat>
    <chartFormat chart="1" format="71">
      <pivotArea type="data" outline="0" fieldPosition="0">
        <references count="3">
          <reference field="4294967294" count="1" selected="0">
            <x v="0"/>
          </reference>
          <reference field="1" count="1" selected="0">
            <x v="6"/>
          </reference>
          <reference field="3" count="1" selected="0">
            <x v="4"/>
          </reference>
        </references>
      </pivotArea>
    </chartFormat>
    <chartFormat chart="1" format="72">
      <pivotArea type="data" outline="0" fieldPosition="0">
        <references count="3">
          <reference field="4294967294" count="1" selected="0">
            <x v="0"/>
          </reference>
          <reference field="1" count="1" selected="0">
            <x v="6"/>
          </reference>
          <reference field="3" count="1" selected="0">
            <x v="5"/>
          </reference>
        </references>
      </pivotArea>
    </chartFormat>
    <chartFormat chart="1" format="73">
      <pivotArea type="data" outline="0" fieldPosition="0">
        <references count="3">
          <reference field="4294967294" count="1" selected="0">
            <x v="0"/>
          </reference>
          <reference field="1" count="1" selected="0">
            <x v="6"/>
          </reference>
          <reference field="3" count="1" selected="0">
            <x v="6"/>
          </reference>
        </references>
      </pivotArea>
    </chartFormat>
    <chartFormat chart="1" format="74">
      <pivotArea type="data" outline="0" fieldPosition="0">
        <references count="3">
          <reference field="4294967294" count="1" selected="0">
            <x v="0"/>
          </reference>
          <reference field="1" count="1" selected="0">
            <x v="6"/>
          </reference>
          <reference field="3" count="1" selected="0">
            <x v="7"/>
          </reference>
        </references>
      </pivotArea>
    </chartFormat>
    <chartFormat chart="1" format="75" series="1">
      <pivotArea type="data" outline="0" fieldPosition="0">
        <references count="2">
          <reference field="4294967294" count="1" selected="0">
            <x v="0"/>
          </reference>
          <reference field="1" count="1" selected="0">
            <x v="7"/>
          </reference>
        </references>
      </pivotArea>
    </chartFormat>
    <chartFormat chart="1" format="76">
      <pivotArea type="data" outline="0" fieldPosition="0">
        <references count="3">
          <reference field="4294967294" count="1" selected="0">
            <x v="0"/>
          </reference>
          <reference field="1" count="1" selected="0">
            <x v="7"/>
          </reference>
          <reference field="3" count="1" selected="0">
            <x v="0"/>
          </reference>
        </references>
      </pivotArea>
    </chartFormat>
    <chartFormat chart="1" format="77">
      <pivotArea type="data" outline="0" fieldPosition="0">
        <references count="3">
          <reference field="4294967294" count="1" selected="0">
            <x v="0"/>
          </reference>
          <reference field="1" count="1" selected="0">
            <x v="7"/>
          </reference>
          <reference field="3" count="1" selected="0">
            <x v="1"/>
          </reference>
        </references>
      </pivotArea>
    </chartFormat>
    <chartFormat chart="1" format="78">
      <pivotArea type="data" outline="0" fieldPosition="0">
        <references count="3">
          <reference field="4294967294" count="1" selected="0">
            <x v="0"/>
          </reference>
          <reference field="1" count="1" selected="0">
            <x v="7"/>
          </reference>
          <reference field="3" count="1" selected="0">
            <x v="2"/>
          </reference>
        </references>
      </pivotArea>
    </chartFormat>
    <chartFormat chart="1" format="79">
      <pivotArea type="data" outline="0" fieldPosition="0">
        <references count="3">
          <reference field="4294967294" count="1" selected="0">
            <x v="0"/>
          </reference>
          <reference field="1" count="1" selected="0">
            <x v="7"/>
          </reference>
          <reference field="3" count="1" selected="0">
            <x v="3"/>
          </reference>
        </references>
      </pivotArea>
    </chartFormat>
    <chartFormat chart="1" format="80">
      <pivotArea type="data" outline="0" fieldPosition="0">
        <references count="3">
          <reference field="4294967294" count="1" selected="0">
            <x v="0"/>
          </reference>
          <reference field="1" count="1" selected="0">
            <x v="7"/>
          </reference>
          <reference field="3" count="1" selected="0">
            <x v="4"/>
          </reference>
        </references>
      </pivotArea>
    </chartFormat>
    <chartFormat chart="1" format="81">
      <pivotArea type="data" outline="0" fieldPosition="0">
        <references count="3">
          <reference field="4294967294" count="1" selected="0">
            <x v="0"/>
          </reference>
          <reference field="1" count="1" selected="0">
            <x v="7"/>
          </reference>
          <reference field="3" count="1" selected="0">
            <x v="5"/>
          </reference>
        </references>
      </pivotArea>
    </chartFormat>
    <chartFormat chart="1" format="82">
      <pivotArea type="data" outline="0" fieldPosition="0">
        <references count="3">
          <reference field="4294967294" count="1" selected="0">
            <x v="0"/>
          </reference>
          <reference field="1" count="1" selected="0">
            <x v="7"/>
          </reference>
          <reference field="3" count="1" selected="0">
            <x v="6"/>
          </reference>
        </references>
      </pivotArea>
    </chartFormat>
    <chartFormat chart="1" format="83">
      <pivotArea type="data" outline="0" fieldPosition="0">
        <references count="3">
          <reference field="4294967294" count="1" selected="0">
            <x v="0"/>
          </reference>
          <reference field="1" count="1" selected="0">
            <x v="7"/>
          </reference>
          <reference field="3" count="1" selected="0">
            <x v="7"/>
          </reference>
        </references>
      </pivotArea>
    </chartFormat>
    <chartFormat chart="1" format="84" series="1">
      <pivotArea type="data" outline="0" fieldPosition="0">
        <references count="2">
          <reference field="4294967294" count="1" selected="0">
            <x v="0"/>
          </reference>
          <reference field="1" count="1" selected="0">
            <x v="8"/>
          </reference>
        </references>
      </pivotArea>
    </chartFormat>
    <chartFormat chart="1" format="85">
      <pivotArea type="data" outline="0" fieldPosition="0">
        <references count="3">
          <reference field="4294967294" count="1" selected="0">
            <x v="0"/>
          </reference>
          <reference field="1" count="1" selected="0">
            <x v="8"/>
          </reference>
          <reference field="3" count="1" selected="0">
            <x v="0"/>
          </reference>
        </references>
      </pivotArea>
    </chartFormat>
    <chartFormat chart="1" format="86">
      <pivotArea type="data" outline="0" fieldPosition="0">
        <references count="3">
          <reference field="4294967294" count="1" selected="0">
            <x v="0"/>
          </reference>
          <reference field="1" count="1" selected="0">
            <x v="8"/>
          </reference>
          <reference field="3" count="1" selected="0">
            <x v="1"/>
          </reference>
        </references>
      </pivotArea>
    </chartFormat>
    <chartFormat chart="1" format="87">
      <pivotArea type="data" outline="0" fieldPosition="0">
        <references count="3">
          <reference field="4294967294" count="1" selected="0">
            <x v="0"/>
          </reference>
          <reference field="1" count="1" selected="0">
            <x v="8"/>
          </reference>
          <reference field="3" count="1" selected="0">
            <x v="2"/>
          </reference>
        </references>
      </pivotArea>
    </chartFormat>
    <chartFormat chart="1" format="88">
      <pivotArea type="data" outline="0" fieldPosition="0">
        <references count="3">
          <reference field="4294967294" count="1" selected="0">
            <x v="0"/>
          </reference>
          <reference field="1" count="1" selected="0">
            <x v="8"/>
          </reference>
          <reference field="3" count="1" selected="0">
            <x v="3"/>
          </reference>
        </references>
      </pivotArea>
    </chartFormat>
    <chartFormat chart="1" format="89">
      <pivotArea type="data" outline="0" fieldPosition="0">
        <references count="3">
          <reference field="4294967294" count="1" selected="0">
            <x v="0"/>
          </reference>
          <reference field="1" count="1" selected="0">
            <x v="8"/>
          </reference>
          <reference field="3" count="1" selected="0">
            <x v="4"/>
          </reference>
        </references>
      </pivotArea>
    </chartFormat>
    <chartFormat chart="1" format="90">
      <pivotArea type="data" outline="0" fieldPosition="0">
        <references count="3">
          <reference field="4294967294" count="1" selected="0">
            <x v="0"/>
          </reference>
          <reference field="1" count="1" selected="0">
            <x v="8"/>
          </reference>
          <reference field="3" count="1" selected="0">
            <x v="5"/>
          </reference>
        </references>
      </pivotArea>
    </chartFormat>
    <chartFormat chart="1" format="91">
      <pivotArea type="data" outline="0" fieldPosition="0">
        <references count="3">
          <reference field="4294967294" count="1" selected="0">
            <x v="0"/>
          </reference>
          <reference field="1" count="1" selected="0">
            <x v="8"/>
          </reference>
          <reference field="3" count="1" selected="0">
            <x v="6"/>
          </reference>
        </references>
      </pivotArea>
    </chartFormat>
    <chartFormat chart="1" format="92">
      <pivotArea type="data" outline="0" fieldPosition="0">
        <references count="3">
          <reference field="4294967294" count="1" selected="0">
            <x v="0"/>
          </reference>
          <reference field="1" count="1" selected="0">
            <x v="8"/>
          </reference>
          <reference field="3" count="1" selected="0">
            <x v="7"/>
          </reference>
        </references>
      </pivotArea>
    </chartFormat>
    <chartFormat chart="1" format="93" series="1">
      <pivotArea type="data" outline="0" fieldPosition="0">
        <references count="2">
          <reference field="4294967294" count="1" selected="0">
            <x v="0"/>
          </reference>
          <reference field="1" count="1" selected="0">
            <x v="9"/>
          </reference>
        </references>
      </pivotArea>
    </chartFormat>
    <chartFormat chart="1" format="94">
      <pivotArea type="data" outline="0" fieldPosition="0">
        <references count="3">
          <reference field="4294967294" count="1" selected="0">
            <x v="0"/>
          </reference>
          <reference field="1" count="1" selected="0">
            <x v="9"/>
          </reference>
          <reference field="3" count="1" selected="0">
            <x v="0"/>
          </reference>
        </references>
      </pivotArea>
    </chartFormat>
    <chartFormat chart="1" format="95">
      <pivotArea type="data" outline="0" fieldPosition="0">
        <references count="3">
          <reference field="4294967294" count="1" selected="0">
            <x v="0"/>
          </reference>
          <reference field="1" count="1" selected="0">
            <x v="9"/>
          </reference>
          <reference field="3" count="1" selected="0">
            <x v="1"/>
          </reference>
        </references>
      </pivotArea>
    </chartFormat>
    <chartFormat chart="1" format="96">
      <pivotArea type="data" outline="0" fieldPosition="0">
        <references count="3">
          <reference field="4294967294" count="1" selected="0">
            <x v="0"/>
          </reference>
          <reference field="1" count="1" selected="0">
            <x v="9"/>
          </reference>
          <reference field="3" count="1" selected="0">
            <x v="2"/>
          </reference>
        </references>
      </pivotArea>
    </chartFormat>
    <chartFormat chart="1" format="97">
      <pivotArea type="data" outline="0" fieldPosition="0">
        <references count="3">
          <reference field="4294967294" count="1" selected="0">
            <x v="0"/>
          </reference>
          <reference field="1" count="1" selected="0">
            <x v="9"/>
          </reference>
          <reference field="3" count="1" selected="0">
            <x v="3"/>
          </reference>
        </references>
      </pivotArea>
    </chartFormat>
    <chartFormat chart="1" format="98">
      <pivotArea type="data" outline="0" fieldPosition="0">
        <references count="3">
          <reference field="4294967294" count="1" selected="0">
            <x v="0"/>
          </reference>
          <reference field="1" count="1" selected="0">
            <x v="9"/>
          </reference>
          <reference field="3" count="1" selected="0">
            <x v="4"/>
          </reference>
        </references>
      </pivotArea>
    </chartFormat>
    <chartFormat chart="1" format="99">
      <pivotArea type="data" outline="0" fieldPosition="0">
        <references count="3">
          <reference field="4294967294" count="1" selected="0">
            <x v="0"/>
          </reference>
          <reference field="1" count="1" selected="0">
            <x v="9"/>
          </reference>
          <reference field="3" count="1" selected="0">
            <x v="5"/>
          </reference>
        </references>
      </pivotArea>
    </chartFormat>
    <chartFormat chart="1" format="100">
      <pivotArea type="data" outline="0" fieldPosition="0">
        <references count="3">
          <reference field="4294967294" count="1" selected="0">
            <x v="0"/>
          </reference>
          <reference field="1" count="1" selected="0">
            <x v="9"/>
          </reference>
          <reference field="3" count="1" selected="0">
            <x v="6"/>
          </reference>
        </references>
      </pivotArea>
    </chartFormat>
    <chartFormat chart="1" format="101">
      <pivotArea type="data" outline="0" fieldPosition="0">
        <references count="3">
          <reference field="4294967294" count="1" selected="0">
            <x v="0"/>
          </reference>
          <reference field="1" count="1" selected="0">
            <x v="9"/>
          </reference>
          <reference field="3" count="1" selected="0">
            <x v="7"/>
          </reference>
        </references>
      </pivotArea>
    </chartFormat>
    <chartFormat chart="1" format="102" series="1">
      <pivotArea type="data" outline="0" fieldPosition="0">
        <references count="2">
          <reference field="4294967294" count="1" selected="0">
            <x v="0"/>
          </reference>
          <reference field="1" count="1" selected="0">
            <x v="10"/>
          </reference>
        </references>
      </pivotArea>
    </chartFormat>
    <chartFormat chart="1" format="103">
      <pivotArea type="data" outline="0" fieldPosition="0">
        <references count="3">
          <reference field="4294967294" count="1" selected="0">
            <x v="0"/>
          </reference>
          <reference field="1" count="1" selected="0">
            <x v="10"/>
          </reference>
          <reference field="3" count="1" selected="0">
            <x v="0"/>
          </reference>
        </references>
      </pivotArea>
    </chartFormat>
    <chartFormat chart="1" format="104">
      <pivotArea type="data" outline="0" fieldPosition="0">
        <references count="3">
          <reference field="4294967294" count="1" selected="0">
            <x v="0"/>
          </reference>
          <reference field="1" count="1" selected="0">
            <x v="10"/>
          </reference>
          <reference field="3" count="1" selected="0">
            <x v="1"/>
          </reference>
        </references>
      </pivotArea>
    </chartFormat>
    <chartFormat chart="1" format="105">
      <pivotArea type="data" outline="0" fieldPosition="0">
        <references count="3">
          <reference field="4294967294" count="1" selected="0">
            <x v="0"/>
          </reference>
          <reference field="1" count="1" selected="0">
            <x v="10"/>
          </reference>
          <reference field="3" count="1" selected="0">
            <x v="2"/>
          </reference>
        </references>
      </pivotArea>
    </chartFormat>
    <chartFormat chart="1" format="106">
      <pivotArea type="data" outline="0" fieldPosition="0">
        <references count="3">
          <reference field="4294967294" count="1" selected="0">
            <x v="0"/>
          </reference>
          <reference field="1" count="1" selected="0">
            <x v="10"/>
          </reference>
          <reference field="3" count="1" selected="0">
            <x v="3"/>
          </reference>
        </references>
      </pivotArea>
    </chartFormat>
    <chartFormat chart="1" format="107">
      <pivotArea type="data" outline="0" fieldPosition="0">
        <references count="3">
          <reference field="4294967294" count="1" selected="0">
            <x v="0"/>
          </reference>
          <reference field="1" count="1" selected="0">
            <x v="10"/>
          </reference>
          <reference field="3" count="1" selected="0">
            <x v="4"/>
          </reference>
        </references>
      </pivotArea>
    </chartFormat>
    <chartFormat chart="1" format="108">
      <pivotArea type="data" outline="0" fieldPosition="0">
        <references count="3">
          <reference field="4294967294" count="1" selected="0">
            <x v="0"/>
          </reference>
          <reference field="1" count="1" selected="0">
            <x v="10"/>
          </reference>
          <reference field="3" count="1" selected="0">
            <x v="5"/>
          </reference>
        </references>
      </pivotArea>
    </chartFormat>
    <chartFormat chart="1" format="109">
      <pivotArea type="data" outline="0" fieldPosition="0">
        <references count="3">
          <reference field="4294967294" count="1" selected="0">
            <x v="0"/>
          </reference>
          <reference field="1" count="1" selected="0">
            <x v="10"/>
          </reference>
          <reference field="3" count="1" selected="0">
            <x v="6"/>
          </reference>
        </references>
      </pivotArea>
    </chartFormat>
    <chartFormat chart="1" format="110">
      <pivotArea type="data" outline="0" fieldPosition="0">
        <references count="3">
          <reference field="4294967294" count="1" selected="0">
            <x v="0"/>
          </reference>
          <reference field="1" count="1" selected="0">
            <x v="10"/>
          </reference>
          <reference field="3" count="1" selected="0">
            <x v="7"/>
          </reference>
        </references>
      </pivotArea>
    </chartFormat>
    <chartFormat chart="1" format="111" series="1">
      <pivotArea type="data" outline="0" fieldPosition="0">
        <references count="2">
          <reference field="4294967294" count="1" selected="0">
            <x v="0"/>
          </reference>
          <reference field="1" count="1" selected="0">
            <x v="11"/>
          </reference>
        </references>
      </pivotArea>
    </chartFormat>
    <chartFormat chart="1" format="112">
      <pivotArea type="data" outline="0" fieldPosition="0">
        <references count="3">
          <reference field="4294967294" count="1" selected="0">
            <x v="0"/>
          </reference>
          <reference field="1" count="1" selected="0">
            <x v="11"/>
          </reference>
          <reference field="3" count="1" selected="0">
            <x v="0"/>
          </reference>
        </references>
      </pivotArea>
    </chartFormat>
    <chartFormat chart="1" format="113">
      <pivotArea type="data" outline="0" fieldPosition="0">
        <references count="3">
          <reference field="4294967294" count="1" selected="0">
            <x v="0"/>
          </reference>
          <reference field="1" count="1" selected="0">
            <x v="11"/>
          </reference>
          <reference field="3" count="1" selected="0">
            <x v="1"/>
          </reference>
        </references>
      </pivotArea>
    </chartFormat>
    <chartFormat chart="1" format="114">
      <pivotArea type="data" outline="0" fieldPosition="0">
        <references count="3">
          <reference field="4294967294" count="1" selected="0">
            <x v="0"/>
          </reference>
          <reference field="1" count="1" selected="0">
            <x v="11"/>
          </reference>
          <reference field="3" count="1" selected="0">
            <x v="2"/>
          </reference>
        </references>
      </pivotArea>
    </chartFormat>
    <chartFormat chart="1" format="115">
      <pivotArea type="data" outline="0" fieldPosition="0">
        <references count="3">
          <reference field="4294967294" count="1" selected="0">
            <x v="0"/>
          </reference>
          <reference field="1" count="1" selected="0">
            <x v="11"/>
          </reference>
          <reference field="3" count="1" selected="0">
            <x v="3"/>
          </reference>
        </references>
      </pivotArea>
    </chartFormat>
    <chartFormat chart="1" format="116">
      <pivotArea type="data" outline="0" fieldPosition="0">
        <references count="3">
          <reference field="4294967294" count="1" selected="0">
            <x v="0"/>
          </reference>
          <reference field="1" count="1" selected="0">
            <x v="11"/>
          </reference>
          <reference field="3" count="1" selected="0">
            <x v="4"/>
          </reference>
        </references>
      </pivotArea>
    </chartFormat>
    <chartFormat chart="1" format="117">
      <pivotArea type="data" outline="0" fieldPosition="0">
        <references count="3">
          <reference field="4294967294" count="1" selected="0">
            <x v="0"/>
          </reference>
          <reference field="1" count="1" selected="0">
            <x v="11"/>
          </reference>
          <reference field="3" count="1" selected="0">
            <x v="5"/>
          </reference>
        </references>
      </pivotArea>
    </chartFormat>
    <chartFormat chart="1" format="118">
      <pivotArea type="data" outline="0" fieldPosition="0">
        <references count="3">
          <reference field="4294967294" count="1" selected="0">
            <x v="0"/>
          </reference>
          <reference field="1" count="1" selected="0">
            <x v="11"/>
          </reference>
          <reference field="3" count="1" selected="0">
            <x v="6"/>
          </reference>
        </references>
      </pivotArea>
    </chartFormat>
    <chartFormat chart="1" format="119">
      <pivotArea type="data" outline="0" fieldPosition="0">
        <references count="3">
          <reference field="4294967294" count="1" selected="0">
            <x v="0"/>
          </reference>
          <reference field="1" count="1" selected="0">
            <x v="11"/>
          </reference>
          <reference field="3" count="1" selected="0">
            <x v="7"/>
          </reference>
        </references>
      </pivotArea>
    </chartFormat>
    <chartFormat chart="2" format="120" series="1">
      <pivotArea type="data" outline="0" fieldPosition="0">
        <references count="2">
          <reference field="4294967294" count="1" selected="0">
            <x v="0"/>
          </reference>
          <reference field="1" count="1" selected="0">
            <x v="0"/>
          </reference>
        </references>
      </pivotArea>
    </chartFormat>
    <chartFormat chart="2" format="121">
      <pivotArea type="data" outline="0" fieldPosition="0">
        <references count="3">
          <reference field="4294967294" count="1" selected="0">
            <x v="0"/>
          </reference>
          <reference field="1" count="1" selected="0">
            <x v="0"/>
          </reference>
          <reference field="3" count="1" selected="0">
            <x v="0"/>
          </reference>
        </references>
      </pivotArea>
    </chartFormat>
    <chartFormat chart="2" format="122">
      <pivotArea type="data" outline="0" fieldPosition="0">
        <references count="3">
          <reference field="4294967294" count="1" selected="0">
            <x v="0"/>
          </reference>
          <reference field="1" count="1" selected="0">
            <x v="0"/>
          </reference>
          <reference field="3" count="1" selected="0">
            <x v="1"/>
          </reference>
        </references>
      </pivotArea>
    </chartFormat>
    <chartFormat chart="2" format="123">
      <pivotArea type="data" outline="0" fieldPosition="0">
        <references count="3">
          <reference field="4294967294" count="1" selected="0">
            <x v="0"/>
          </reference>
          <reference field="1" count="1" selected="0">
            <x v="0"/>
          </reference>
          <reference field="3" count="1" selected="0">
            <x v="2"/>
          </reference>
        </references>
      </pivotArea>
    </chartFormat>
    <chartFormat chart="2" format="124">
      <pivotArea type="data" outline="0" fieldPosition="0">
        <references count="3">
          <reference field="4294967294" count="1" selected="0">
            <x v="0"/>
          </reference>
          <reference field="1" count="1" selected="0">
            <x v="0"/>
          </reference>
          <reference field="3" count="1" selected="0">
            <x v="3"/>
          </reference>
        </references>
      </pivotArea>
    </chartFormat>
    <chartFormat chart="2" format="125">
      <pivotArea type="data" outline="0" fieldPosition="0">
        <references count="3">
          <reference field="4294967294" count="1" selected="0">
            <x v="0"/>
          </reference>
          <reference field="1" count="1" selected="0">
            <x v="0"/>
          </reference>
          <reference field="3" count="1" selected="0">
            <x v="4"/>
          </reference>
        </references>
      </pivotArea>
    </chartFormat>
    <chartFormat chart="2" format="126">
      <pivotArea type="data" outline="0" fieldPosition="0">
        <references count="3">
          <reference field="4294967294" count="1" selected="0">
            <x v="0"/>
          </reference>
          <reference field="1" count="1" selected="0">
            <x v="0"/>
          </reference>
          <reference field="3" count="1" selected="0">
            <x v="5"/>
          </reference>
        </references>
      </pivotArea>
    </chartFormat>
    <chartFormat chart="2" format="127">
      <pivotArea type="data" outline="0" fieldPosition="0">
        <references count="3">
          <reference field="4294967294" count="1" selected="0">
            <x v="0"/>
          </reference>
          <reference field="1" count="1" selected="0">
            <x v="0"/>
          </reference>
          <reference field="3" count="1" selected="0">
            <x v="6"/>
          </reference>
        </references>
      </pivotArea>
    </chartFormat>
    <chartFormat chart="2" format="128">
      <pivotArea type="data" outline="0" fieldPosition="0">
        <references count="3">
          <reference field="4294967294" count="1" selected="0">
            <x v="0"/>
          </reference>
          <reference field="1" count="1" selected="0">
            <x v="0"/>
          </reference>
          <reference field="3" count="1" selected="0">
            <x v="7"/>
          </reference>
        </references>
      </pivotArea>
    </chartFormat>
    <chartFormat chart="2" format="129" series="1">
      <pivotArea type="data" outline="0" fieldPosition="0">
        <references count="2">
          <reference field="4294967294" count="1" selected="0">
            <x v="0"/>
          </reference>
          <reference field="1" count="1" selected="0">
            <x v="1"/>
          </reference>
        </references>
      </pivotArea>
    </chartFormat>
    <chartFormat chart="2" format="130">
      <pivotArea type="data" outline="0" fieldPosition="0">
        <references count="3">
          <reference field="4294967294" count="1" selected="0">
            <x v="0"/>
          </reference>
          <reference field="1" count="1" selected="0">
            <x v="1"/>
          </reference>
          <reference field="3" count="1" selected="0">
            <x v="0"/>
          </reference>
        </references>
      </pivotArea>
    </chartFormat>
    <chartFormat chart="2" format="131">
      <pivotArea type="data" outline="0" fieldPosition="0">
        <references count="3">
          <reference field="4294967294" count="1" selected="0">
            <x v="0"/>
          </reference>
          <reference field="1" count="1" selected="0">
            <x v="1"/>
          </reference>
          <reference field="3" count="1" selected="0">
            <x v="1"/>
          </reference>
        </references>
      </pivotArea>
    </chartFormat>
    <chartFormat chart="2" format="132">
      <pivotArea type="data" outline="0" fieldPosition="0">
        <references count="3">
          <reference field="4294967294" count="1" selected="0">
            <x v="0"/>
          </reference>
          <reference field="1" count="1" selected="0">
            <x v="1"/>
          </reference>
          <reference field="3" count="1" selected="0">
            <x v="2"/>
          </reference>
        </references>
      </pivotArea>
    </chartFormat>
    <chartFormat chart="2" format="133">
      <pivotArea type="data" outline="0" fieldPosition="0">
        <references count="3">
          <reference field="4294967294" count="1" selected="0">
            <x v="0"/>
          </reference>
          <reference field="1" count="1" selected="0">
            <x v="1"/>
          </reference>
          <reference field="3" count="1" selected="0">
            <x v="3"/>
          </reference>
        </references>
      </pivotArea>
    </chartFormat>
    <chartFormat chart="2" format="134">
      <pivotArea type="data" outline="0" fieldPosition="0">
        <references count="3">
          <reference field="4294967294" count="1" selected="0">
            <x v="0"/>
          </reference>
          <reference field="1" count="1" selected="0">
            <x v="1"/>
          </reference>
          <reference field="3" count="1" selected="0">
            <x v="4"/>
          </reference>
        </references>
      </pivotArea>
    </chartFormat>
    <chartFormat chart="2" format="135">
      <pivotArea type="data" outline="0" fieldPosition="0">
        <references count="3">
          <reference field="4294967294" count="1" selected="0">
            <x v="0"/>
          </reference>
          <reference field="1" count="1" selected="0">
            <x v="1"/>
          </reference>
          <reference field="3" count="1" selected="0">
            <x v="5"/>
          </reference>
        </references>
      </pivotArea>
    </chartFormat>
    <chartFormat chart="2" format="136">
      <pivotArea type="data" outline="0" fieldPosition="0">
        <references count="3">
          <reference field="4294967294" count="1" selected="0">
            <x v="0"/>
          </reference>
          <reference field="1" count="1" selected="0">
            <x v="1"/>
          </reference>
          <reference field="3" count="1" selected="0">
            <x v="6"/>
          </reference>
        </references>
      </pivotArea>
    </chartFormat>
    <chartFormat chart="2" format="137">
      <pivotArea type="data" outline="0" fieldPosition="0">
        <references count="3">
          <reference field="4294967294" count="1" selected="0">
            <x v="0"/>
          </reference>
          <reference field="1" count="1" selected="0">
            <x v="1"/>
          </reference>
          <reference field="3" count="1" selected="0">
            <x v="7"/>
          </reference>
        </references>
      </pivotArea>
    </chartFormat>
    <chartFormat chart="2" format="138" series="1">
      <pivotArea type="data" outline="0" fieldPosition="0">
        <references count="2">
          <reference field="4294967294" count="1" selected="0">
            <x v="0"/>
          </reference>
          <reference field="1" count="1" selected="0">
            <x v="2"/>
          </reference>
        </references>
      </pivotArea>
    </chartFormat>
    <chartFormat chart="2" format="139">
      <pivotArea type="data" outline="0" fieldPosition="0">
        <references count="3">
          <reference field="4294967294" count="1" selected="0">
            <x v="0"/>
          </reference>
          <reference field="1" count="1" selected="0">
            <x v="2"/>
          </reference>
          <reference field="3" count="1" selected="0">
            <x v="0"/>
          </reference>
        </references>
      </pivotArea>
    </chartFormat>
    <chartFormat chart="2" format="140">
      <pivotArea type="data" outline="0" fieldPosition="0">
        <references count="3">
          <reference field="4294967294" count="1" selected="0">
            <x v="0"/>
          </reference>
          <reference field="1" count="1" selected="0">
            <x v="2"/>
          </reference>
          <reference field="3" count="1" selected="0">
            <x v="1"/>
          </reference>
        </references>
      </pivotArea>
    </chartFormat>
    <chartFormat chart="2" format="141">
      <pivotArea type="data" outline="0" fieldPosition="0">
        <references count="3">
          <reference field="4294967294" count="1" selected="0">
            <x v="0"/>
          </reference>
          <reference field="1" count="1" selected="0">
            <x v="2"/>
          </reference>
          <reference field="3" count="1" selected="0">
            <x v="2"/>
          </reference>
        </references>
      </pivotArea>
    </chartFormat>
    <chartFormat chart="2" format="142">
      <pivotArea type="data" outline="0" fieldPosition="0">
        <references count="3">
          <reference field="4294967294" count="1" selected="0">
            <x v="0"/>
          </reference>
          <reference field="1" count="1" selected="0">
            <x v="2"/>
          </reference>
          <reference field="3" count="1" selected="0">
            <x v="3"/>
          </reference>
        </references>
      </pivotArea>
    </chartFormat>
    <chartFormat chart="2" format="143">
      <pivotArea type="data" outline="0" fieldPosition="0">
        <references count="3">
          <reference field="4294967294" count="1" selected="0">
            <x v="0"/>
          </reference>
          <reference field="1" count="1" selected="0">
            <x v="2"/>
          </reference>
          <reference field="3" count="1" selected="0">
            <x v="4"/>
          </reference>
        </references>
      </pivotArea>
    </chartFormat>
    <chartFormat chart="2" format="144">
      <pivotArea type="data" outline="0" fieldPosition="0">
        <references count="3">
          <reference field="4294967294" count="1" selected="0">
            <x v="0"/>
          </reference>
          <reference field="1" count="1" selected="0">
            <x v="2"/>
          </reference>
          <reference field="3" count="1" selected="0">
            <x v="5"/>
          </reference>
        </references>
      </pivotArea>
    </chartFormat>
    <chartFormat chart="2" format="145">
      <pivotArea type="data" outline="0" fieldPosition="0">
        <references count="3">
          <reference field="4294967294" count="1" selected="0">
            <x v="0"/>
          </reference>
          <reference field="1" count="1" selected="0">
            <x v="2"/>
          </reference>
          <reference field="3" count="1" selected="0">
            <x v="6"/>
          </reference>
        </references>
      </pivotArea>
    </chartFormat>
    <chartFormat chart="2" format="146">
      <pivotArea type="data" outline="0" fieldPosition="0">
        <references count="3">
          <reference field="4294967294" count="1" selected="0">
            <x v="0"/>
          </reference>
          <reference field="1" count="1" selected="0">
            <x v="2"/>
          </reference>
          <reference field="3" count="1" selected="0">
            <x v="7"/>
          </reference>
        </references>
      </pivotArea>
    </chartFormat>
    <chartFormat chart="2" format="147" series="1">
      <pivotArea type="data" outline="0" fieldPosition="0">
        <references count="2">
          <reference field="4294967294" count="1" selected="0">
            <x v="0"/>
          </reference>
          <reference field="1" count="1" selected="0">
            <x v="3"/>
          </reference>
        </references>
      </pivotArea>
    </chartFormat>
    <chartFormat chart="2" format="148">
      <pivotArea type="data" outline="0" fieldPosition="0">
        <references count="3">
          <reference field="4294967294" count="1" selected="0">
            <x v="0"/>
          </reference>
          <reference field="1" count="1" selected="0">
            <x v="3"/>
          </reference>
          <reference field="3" count="1" selected="0">
            <x v="0"/>
          </reference>
        </references>
      </pivotArea>
    </chartFormat>
    <chartFormat chart="2" format="149">
      <pivotArea type="data" outline="0" fieldPosition="0">
        <references count="3">
          <reference field="4294967294" count="1" selected="0">
            <x v="0"/>
          </reference>
          <reference field="1" count="1" selected="0">
            <x v="3"/>
          </reference>
          <reference field="3" count="1" selected="0">
            <x v="1"/>
          </reference>
        </references>
      </pivotArea>
    </chartFormat>
    <chartFormat chart="2" format="150">
      <pivotArea type="data" outline="0" fieldPosition="0">
        <references count="3">
          <reference field="4294967294" count="1" selected="0">
            <x v="0"/>
          </reference>
          <reference field="1" count="1" selected="0">
            <x v="3"/>
          </reference>
          <reference field="3" count="1" selected="0">
            <x v="2"/>
          </reference>
        </references>
      </pivotArea>
    </chartFormat>
    <chartFormat chart="2" format="151">
      <pivotArea type="data" outline="0" fieldPosition="0">
        <references count="3">
          <reference field="4294967294" count="1" selected="0">
            <x v="0"/>
          </reference>
          <reference field="1" count="1" selected="0">
            <x v="3"/>
          </reference>
          <reference field="3" count="1" selected="0">
            <x v="3"/>
          </reference>
        </references>
      </pivotArea>
    </chartFormat>
    <chartFormat chart="2" format="152">
      <pivotArea type="data" outline="0" fieldPosition="0">
        <references count="3">
          <reference field="4294967294" count="1" selected="0">
            <x v="0"/>
          </reference>
          <reference field="1" count="1" selected="0">
            <x v="3"/>
          </reference>
          <reference field="3" count="1" selected="0">
            <x v="4"/>
          </reference>
        </references>
      </pivotArea>
    </chartFormat>
    <chartFormat chart="2" format="153">
      <pivotArea type="data" outline="0" fieldPosition="0">
        <references count="3">
          <reference field="4294967294" count="1" selected="0">
            <x v="0"/>
          </reference>
          <reference field="1" count="1" selected="0">
            <x v="3"/>
          </reference>
          <reference field="3" count="1" selected="0">
            <x v="5"/>
          </reference>
        </references>
      </pivotArea>
    </chartFormat>
    <chartFormat chart="2" format="154">
      <pivotArea type="data" outline="0" fieldPosition="0">
        <references count="3">
          <reference field="4294967294" count="1" selected="0">
            <x v="0"/>
          </reference>
          <reference field="1" count="1" selected="0">
            <x v="3"/>
          </reference>
          <reference field="3" count="1" selected="0">
            <x v="6"/>
          </reference>
        </references>
      </pivotArea>
    </chartFormat>
    <chartFormat chart="2" format="155">
      <pivotArea type="data" outline="0" fieldPosition="0">
        <references count="3">
          <reference field="4294967294" count="1" selected="0">
            <x v="0"/>
          </reference>
          <reference field="1" count="1" selected="0">
            <x v="3"/>
          </reference>
          <reference field="3" count="1" selected="0">
            <x v="7"/>
          </reference>
        </references>
      </pivotArea>
    </chartFormat>
    <chartFormat chart="2" format="156" series="1">
      <pivotArea type="data" outline="0" fieldPosition="0">
        <references count="2">
          <reference field="4294967294" count="1" selected="0">
            <x v="0"/>
          </reference>
          <reference field="1" count="1" selected="0">
            <x v="4"/>
          </reference>
        </references>
      </pivotArea>
    </chartFormat>
    <chartFormat chart="2" format="157">
      <pivotArea type="data" outline="0" fieldPosition="0">
        <references count="3">
          <reference field="4294967294" count="1" selected="0">
            <x v="0"/>
          </reference>
          <reference field="1" count="1" selected="0">
            <x v="4"/>
          </reference>
          <reference field="3" count="1" selected="0">
            <x v="0"/>
          </reference>
        </references>
      </pivotArea>
    </chartFormat>
    <chartFormat chart="2" format="158">
      <pivotArea type="data" outline="0" fieldPosition="0">
        <references count="3">
          <reference field="4294967294" count="1" selected="0">
            <x v="0"/>
          </reference>
          <reference field="1" count="1" selected="0">
            <x v="4"/>
          </reference>
          <reference field="3" count="1" selected="0">
            <x v="1"/>
          </reference>
        </references>
      </pivotArea>
    </chartFormat>
    <chartFormat chart="2" format="159">
      <pivotArea type="data" outline="0" fieldPosition="0">
        <references count="3">
          <reference field="4294967294" count="1" selected="0">
            <x v="0"/>
          </reference>
          <reference field="1" count="1" selected="0">
            <x v="4"/>
          </reference>
          <reference field="3" count="1" selected="0">
            <x v="2"/>
          </reference>
        </references>
      </pivotArea>
    </chartFormat>
    <chartFormat chart="2" format="160">
      <pivotArea type="data" outline="0" fieldPosition="0">
        <references count="3">
          <reference field="4294967294" count="1" selected="0">
            <x v="0"/>
          </reference>
          <reference field="1" count="1" selected="0">
            <x v="4"/>
          </reference>
          <reference field="3" count="1" selected="0">
            <x v="3"/>
          </reference>
        </references>
      </pivotArea>
    </chartFormat>
    <chartFormat chart="2" format="161">
      <pivotArea type="data" outline="0" fieldPosition="0">
        <references count="3">
          <reference field="4294967294" count="1" selected="0">
            <x v="0"/>
          </reference>
          <reference field="1" count="1" selected="0">
            <x v="4"/>
          </reference>
          <reference field="3" count="1" selected="0">
            <x v="4"/>
          </reference>
        </references>
      </pivotArea>
    </chartFormat>
    <chartFormat chart="2" format="162">
      <pivotArea type="data" outline="0" fieldPosition="0">
        <references count="3">
          <reference field="4294967294" count="1" selected="0">
            <x v="0"/>
          </reference>
          <reference field="1" count="1" selected="0">
            <x v="4"/>
          </reference>
          <reference field="3" count="1" selected="0">
            <x v="5"/>
          </reference>
        </references>
      </pivotArea>
    </chartFormat>
    <chartFormat chart="2" format="163">
      <pivotArea type="data" outline="0" fieldPosition="0">
        <references count="3">
          <reference field="4294967294" count="1" selected="0">
            <x v="0"/>
          </reference>
          <reference field="1" count="1" selected="0">
            <x v="4"/>
          </reference>
          <reference field="3" count="1" selected="0">
            <x v="6"/>
          </reference>
        </references>
      </pivotArea>
    </chartFormat>
    <chartFormat chart="2" format="164">
      <pivotArea type="data" outline="0" fieldPosition="0">
        <references count="3">
          <reference field="4294967294" count="1" selected="0">
            <x v="0"/>
          </reference>
          <reference field="1" count="1" selected="0">
            <x v="4"/>
          </reference>
          <reference field="3" count="1" selected="0">
            <x v="7"/>
          </reference>
        </references>
      </pivotArea>
    </chartFormat>
    <chartFormat chart="2" format="165" series="1">
      <pivotArea type="data" outline="0" fieldPosition="0">
        <references count="2">
          <reference field="4294967294" count="1" selected="0">
            <x v="0"/>
          </reference>
          <reference field="1" count="1" selected="0">
            <x v="5"/>
          </reference>
        </references>
      </pivotArea>
    </chartFormat>
    <chartFormat chart="2" format="166">
      <pivotArea type="data" outline="0" fieldPosition="0">
        <references count="3">
          <reference field="4294967294" count="1" selected="0">
            <x v="0"/>
          </reference>
          <reference field="1" count="1" selected="0">
            <x v="5"/>
          </reference>
          <reference field="3" count="1" selected="0">
            <x v="0"/>
          </reference>
        </references>
      </pivotArea>
    </chartFormat>
    <chartFormat chart="2" format="167">
      <pivotArea type="data" outline="0" fieldPosition="0">
        <references count="3">
          <reference field="4294967294" count="1" selected="0">
            <x v="0"/>
          </reference>
          <reference field="1" count="1" selected="0">
            <x v="5"/>
          </reference>
          <reference field="3" count="1" selected="0">
            <x v="1"/>
          </reference>
        </references>
      </pivotArea>
    </chartFormat>
    <chartFormat chart="2" format="168">
      <pivotArea type="data" outline="0" fieldPosition="0">
        <references count="3">
          <reference field="4294967294" count="1" selected="0">
            <x v="0"/>
          </reference>
          <reference field="1" count="1" selected="0">
            <x v="5"/>
          </reference>
          <reference field="3" count="1" selected="0">
            <x v="2"/>
          </reference>
        </references>
      </pivotArea>
    </chartFormat>
    <chartFormat chart="2" format="169">
      <pivotArea type="data" outline="0" fieldPosition="0">
        <references count="3">
          <reference field="4294967294" count="1" selected="0">
            <x v="0"/>
          </reference>
          <reference field="1" count="1" selected="0">
            <x v="5"/>
          </reference>
          <reference field="3" count="1" selected="0">
            <x v="3"/>
          </reference>
        </references>
      </pivotArea>
    </chartFormat>
    <chartFormat chart="2" format="170">
      <pivotArea type="data" outline="0" fieldPosition="0">
        <references count="3">
          <reference field="4294967294" count="1" selected="0">
            <x v="0"/>
          </reference>
          <reference field="1" count="1" selected="0">
            <x v="5"/>
          </reference>
          <reference field="3" count="1" selected="0">
            <x v="4"/>
          </reference>
        </references>
      </pivotArea>
    </chartFormat>
    <chartFormat chart="2" format="171">
      <pivotArea type="data" outline="0" fieldPosition="0">
        <references count="3">
          <reference field="4294967294" count="1" selected="0">
            <x v="0"/>
          </reference>
          <reference field="1" count="1" selected="0">
            <x v="5"/>
          </reference>
          <reference field="3" count="1" selected="0">
            <x v="5"/>
          </reference>
        </references>
      </pivotArea>
    </chartFormat>
    <chartFormat chart="2" format="172">
      <pivotArea type="data" outline="0" fieldPosition="0">
        <references count="3">
          <reference field="4294967294" count="1" selected="0">
            <x v="0"/>
          </reference>
          <reference field="1" count="1" selected="0">
            <x v="5"/>
          </reference>
          <reference field="3" count="1" selected="0">
            <x v="6"/>
          </reference>
        </references>
      </pivotArea>
    </chartFormat>
    <chartFormat chart="2" format="173">
      <pivotArea type="data" outline="0" fieldPosition="0">
        <references count="3">
          <reference field="4294967294" count="1" selected="0">
            <x v="0"/>
          </reference>
          <reference field="1" count="1" selected="0">
            <x v="5"/>
          </reference>
          <reference field="3" count="1" selected="0">
            <x v="7"/>
          </reference>
        </references>
      </pivotArea>
    </chartFormat>
    <chartFormat chart="2" format="174" series="1">
      <pivotArea type="data" outline="0" fieldPosition="0">
        <references count="2">
          <reference field="4294967294" count="1" selected="0">
            <x v="0"/>
          </reference>
          <reference field="1" count="1" selected="0">
            <x v="6"/>
          </reference>
        </references>
      </pivotArea>
    </chartFormat>
    <chartFormat chart="2" format="175">
      <pivotArea type="data" outline="0" fieldPosition="0">
        <references count="3">
          <reference field="4294967294" count="1" selected="0">
            <x v="0"/>
          </reference>
          <reference field="1" count="1" selected="0">
            <x v="6"/>
          </reference>
          <reference field="3" count="1" selected="0">
            <x v="0"/>
          </reference>
        </references>
      </pivotArea>
    </chartFormat>
    <chartFormat chart="2" format="176">
      <pivotArea type="data" outline="0" fieldPosition="0">
        <references count="3">
          <reference field="4294967294" count="1" selected="0">
            <x v="0"/>
          </reference>
          <reference field="1" count="1" selected="0">
            <x v="6"/>
          </reference>
          <reference field="3" count="1" selected="0">
            <x v="1"/>
          </reference>
        </references>
      </pivotArea>
    </chartFormat>
    <chartFormat chart="2" format="177">
      <pivotArea type="data" outline="0" fieldPosition="0">
        <references count="3">
          <reference field="4294967294" count="1" selected="0">
            <x v="0"/>
          </reference>
          <reference field="1" count="1" selected="0">
            <x v="6"/>
          </reference>
          <reference field="3" count="1" selected="0">
            <x v="2"/>
          </reference>
        </references>
      </pivotArea>
    </chartFormat>
    <chartFormat chart="2" format="178">
      <pivotArea type="data" outline="0" fieldPosition="0">
        <references count="3">
          <reference field="4294967294" count="1" selected="0">
            <x v="0"/>
          </reference>
          <reference field="1" count="1" selected="0">
            <x v="6"/>
          </reference>
          <reference field="3" count="1" selected="0">
            <x v="3"/>
          </reference>
        </references>
      </pivotArea>
    </chartFormat>
    <chartFormat chart="2" format="179">
      <pivotArea type="data" outline="0" fieldPosition="0">
        <references count="3">
          <reference field="4294967294" count="1" selected="0">
            <x v="0"/>
          </reference>
          <reference field="1" count="1" selected="0">
            <x v="6"/>
          </reference>
          <reference field="3" count="1" selected="0">
            <x v="4"/>
          </reference>
        </references>
      </pivotArea>
    </chartFormat>
    <chartFormat chart="2" format="180">
      <pivotArea type="data" outline="0" fieldPosition="0">
        <references count="3">
          <reference field="4294967294" count="1" selected="0">
            <x v="0"/>
          </reference>
          <reference field="1" count="1" selected="0">
            <x v="6"/>
          </reference>
          <reference field="3" count="1" selected="0">
            <x v="5"/>
          </reference>
        </references>
      </pivotArea>
    </chartFormat>
    <chartFormat chart="2" format="181">
      <pivotArea type="data" outline="0" fieldPosition="0">
        <references count="3">
          <reference field="4294967294" count="1" selected="0">
            <x v="0"/>
          </reference>
          <reference field="1" count="1" selected="0">
            <x v="6"/>
          </reference>
          <reference field="3" count="1" selected="0">
            <x v="6"/>
          </reference>
        </references>
      </pivotArea>
    </chartFormat>
    <chartFormat chart="2" format="182">
      <pivotArea type="data" outline="0" fieldPosition="0">
        <references count="3">
          <reference field="4294967294" count="1" selected="0">
            <x v="0"/>
          </reference>
          <reference field="1" count="1" selected="0">
            <x v="6"/>
          </reference>
          <reference field="3" count="1" selected="0">
            <x v="7"/>
          </reference>
        </references>
      </pivotArea>
    </chartFormat>
    <chartFormat chart="2" format="183" series="1">
      <pivotArea type="data" outline="0" fieldPosition="0">
        <references count="2">
          <reference field="4294967294" count="1" selected="0">
            <x v="0"/>
          </reference>
          <reference field="1" count="1" selected="0">
            <x v="7"/>
          </reference>
        </references>
      </pivotArea>
    </chartFormat>
    <chartFormat chart="2" format="184">
      <pivotArea type="data" outline="0" fieldPosition="0">
        <references count="3">
          <reference field="4294967294" count="1" selected="0">
            <x v="0"/>
          </reference>
          <reference field="1" count="1" selected="0">
            <x v="7"/>
          </reference>
          <reference field="3" count="1" selected="0">
            <x v="0"/>
          </reference>
        </references>
      </pivotArea>
    </chartFormat>
    <chartFormat chart="2" format="185">
      <pivotArea type="data" outline="0" fieldPosition="0">
        <references count="3">
          <reference field="4294967294" count="1" selected="0">
            <x v="0"/>
          </reference>
          <reference field="1" count="1" selected="0">
            <x v="7"/>
          </reference>
          <reference field="3" count="1" selected="0">
            <x v="1"/>
          </reference>
        </references>
      </pivotArea>
    </chartFormat>
    <chartFormat chart="2" format="186">
      <pivotArea type="data" outline="0" fieldPosition="0">
        <references count="3">
          <reference field="4294967294" count="1" selected="0">
            <x v="0"/>
          </reference>
          <reference field="1" count="1" selected="0">
            <x v="7"/>
          </reference>
          <reference field="3" count="1" selected="0">
            <x v="2"/>
          </reference>
        </references>
      </pivotArea>
    </chartFormat>
    <chartFormat chart="2" format="187">
      <pivotArea type="data" outline="0" fieldPosition="0">
        <references count="3">
          <reference field="4294967294" count="1" selected="0">
            <x v="0"/>
          </reference>
          <reference field="1" count="1" selected="0">
            <x v="7"/>
          </reference>
          <reference field="3" count="1" selected="0">
            <x v="3"/>
          </reference>
        </references>
      </pivotArea>
    </chartFormat>
    <chartFormat chart="2" format="188">
      <pivotArea type="data" outline="0" fieldPosition="0">
        <references count="3">
          <reference field="4294967294" count="1" selected="0">
            <x v="0"/>
          </reference>
          <reference field="1" count="1" selected="0">
            <x v="7"/>
          </reference>
          <reference field="3" count="1" selected="0">
            <x v="4"/>
          </reference>
        </references>
      </pivotArea>
    </chartFormat>
    <chartFormat chart="2" format="189">
      <pivotArea type="data" outline="0" fieldPosition="0">
        <references count="3">
          <reference field="4294967294" count="1" selected="0">
            <x v="0"/>
          </reference>
          <reference field="1" count="1" selected="0">
            <x v="7"/>
          </reference>
          <reference field="3" count="1" selected="0">
            <x v="5"/>
          </reference>
        </references>
      </pivotArea>
    </chartFormat>
    <chartFormat chart="2" format="190">
      <pivotArea type="data" outline="0" fieldPosition="0">
        <references count="3">
          <reference field="4294967294" count="1" selected="0">
            <x v="0"/>
          </reference>
          <reference field="1" count="1" selected="0">
            <x v="7"/>
          </reference>
          <reference field="3" count="1" selected="0">
            <x v="6"/>
          </reference>
        </references>
      </pivotArea>
    </chartFormat>
    <chartFormat chart="2" format="191">
      <pivotArea type="data" outline="0" fieldPosition="0">
        <references count="3">
          <reference field="4294967294" count="1" selected="0">
            <x v="0"/>
          </reference>
          <reference field="1" count="1" selected="0">
            <x v="7"/>
          </reference>
          <reference field="3" count="1" selected="0">
            <x v="7"/>
          </reference>
        </references>
      </pivotArea>
    </chartFormat>
    <chartFormat chart="2" format="192" series="1">
      <pivotArea type="data" outline="0" fieldPosition="0">
        <references count="2">
          <reference field="4294967294" count="1" selected="0">
            <x v="0"/>
          </reference>
          <reference field="1" count="1" selected="0">
            <x v="8"/>
          </reference>
        </references>
      </pivotArea>
    </chartFormat>
    <chartFormat chart="2" format="193">
      <pivotArea type="data" outline="0" fieldPosition="0">
        <references count="3">
          <reference field="4294967294" count="1" selected="0">
            <x v="0"/>
          </reference>
          <reference field="1" count="1" selected="0">
            <x v="8"/>
          </reference>
          <reference field="3" count="1" selected="0">
            <x v="0"/>
          </reference>
        </references>
      </pivotArea>
    </chartFormat>
    <chartFormat chart="2" format="194">
      <pivotArea type="data" outline="0" fieldPosition="0">
        <references count="3">
          <reference field="4294967294" count="1" selected="0">
            <x v="0"/>
          </reference>
          <reference field="1" count="1" selected="0">
            <x v="8"/>
          </reference>
          <reference field="3" count="1" selected="0">
            <x v="1"/>
          </reference>
        </references>
      </pivotArea>
    </chartFormat>
    <chartFormat chart="2" format="195">
      <pivotArea type="data" outline="0" fieldPosition="0">
        <references count="3">
          <reference field="4294967294" count="1" selected="0">
            <x v="0"/>
          </reference>
          <reference field="1" count="1" selected="0">
            <x v="8"/>
          </reference>
          <reference field="3" count="1" selected="0">
            <x v="2"/>
          </reference>
        </references>
      </pivotArea>
    </chartFormat>
    <chartFormat chart="2" format="196">
      <pivotArea type="data" outline="0" fieldPosition="0">
        <references count="3">
          <reference field="4294967294" count="1" selected="0">
            <x v="0"/>
          </reference>
          <reference field="1" count="1" selected="0">
            <x v="8"/>
          </reference>
          <reference field="3" count="1" selected="0">
            <x v="3"/>
          </reference>
        </references>
      </pivotArea>
    </chartFormat>
    <chartFormat chart="2" format="197">
      <pivotArea type="data" outline="0" fieldPosition="0">
        <references count="3">
          <reference field="4294967294" count="1" selected="0">
            <x v="0"/>
          </reference>
          <reference field="1" count="1" selected="0">
            <x v="8"/>
          </reference>
          <reference field="3" count="1" selected="0">
            <x v="4"/>
          </reference>
        </references>
      </pivotArea>
    </chartFormat>
    <chartFormat chart="2" format="198">
      <pivotArea type="data" outline="0" fieldPosition="0">
        <references count="3">
          <reference field="4294967294" count="1" selected="0">
            <x v="0"/>
          </reference>
          <reference field="1" count="1" selected="0">
            <x v="8"/>
          </reference>
          <reference field="3" count="1" selected="0">
            <x v="5"/>
          </reference>
        </references>
      </pivotArea>
    </chartFormat>
    <chartFormat chart="2" format="199">
      <pivotArea type="data" outline="0" fieldPosition="0">
        <references count="3">
          <reference field="4294967294" count="1" selected="0">
            <x v="0"/>
          </reference>
          <reference field="1" count="1" selected="0">
            <x v="8"/>
          </reference>
          <reference field="3" count="1" selected="0">
            <x v="6"/>
          </reference>
        </references>
      </pivotArea>
    </chartFormat>
    <chartFormat chart="2" format="200">
      <pivotArea type="data" outline="0" fieldPosition="0">
        <references count="3">
          <reference field="4294967294" count="1" selected="0">
            <x v="0"/>
          </reference>
          <reference field="1" count="1" selected="0">
            <x v="8"/>
          </reference>
          <reference field="3" count="1" selected="0">
            <x v="7"/>
          </reference>
        </references>
      </pivotArea>
    </chartFormat>
    <chartFormat chart="2" format="201" series="1">
      <pivotArea type="data" outline="0" fieldPosition="0">
        <references count="2">
          <reference field="4294967294" count="1" selected="0">
            <x v="0"/>
          </reference>
          <reference field="1" count="1" selected="0">
            <x v="9"/>
          </reference>
        </references>
      </pivotArea>
    </chartFormat>
    <chartFormat chart="2" format="202">
      <pivotArea type="data" outline="0" fieldPosition="0">
        <references count="3">
          <reference field="4294967294" count="1" selected="0">
            <x v="0"/>
          </reference>
          <reference field="1" count="1" selected="0">
            <x v="9"/>
          </reference>
          <reference field="3" count="1" selected="0">
            <x v="0"/>
          </reference>
        </references>
      </pivotArea>
    </chartFormat>
    <chartFormat chart="2" format="203">
      <pivotArea type="data" outline="0" fieldPosition="0">
        <references count="3">
          <reference field="4294967294" count="1" selected="0">
            <x v="0"/>
          </reference>
          <reference field="1" count="1" selected="0">
            <x v="9"/>
          </reference>
          <reference field="3" count="1" selected="0">
            <x v="1"/>
          </reference>
        </references>
      </pivotArea>
    </chartFormat>
    <chartFormat chart="2" format="204">
      <pivotArea type="data" outline="0" fieldPosition="0">
        <references count="3">
          <reference field="4294967294" count="1" selected="0">
            <x v="0"/>
          </reference>
          <reference field="1" count="1" selected="0">
            <x v="9"/>
          </reference>
          <reference field="3" count="1" selected="0">
            <x v="2"/>
          </reference>
        </references>
      </pivotArea>
    </chartFormat>
    <chartFormat chart="2" format="205">
      <pivotArea type="data" outline="0" fieldPosition="0">
        <references count="3">
          <reference field="4294967294" count="1" selected="0">
            <x v="0"/>
          </reference>
          <reference field="1" count="1" selected="0">
            <x v="9"/>
          </reference>
          <reference field="3" count="1" selected="0">
            <x v="3"/>
          </reference>
        </references>
      </pivotArea>
    </chartFormat>
    <chartFormat chart="2" format="206">
      <pivotArea type="data" outline="0" fieldPosition="0">
        <references count="3">
          <reference field="4294967294" count="1" selected="0">
            <x v="0"/>
          </reference>
          <reference field="1" count="1" selected="0">
            <x v="9"/>
          </reference>
          <reference field="3" count="1" selected="0">
            <x v="4"/>
          </reference>
        </references>
      </pivotArea>
    </chartFormat>
    <chartFormat chart="2" format="207">
      <pivotArea type="data" outline="0" fieldPosition="0">
        <references count="3">
          <reference field="4294967294" count="1" selected="0">
            <x v="0"/>
          </reference>
          <reference field="1" count="1" selected="0">
            <x v="9"/>
          </reference>
          <reference field="3" count="1" selected="0">
            <x v="5"/>
          </reference>
        </references>
      </pivotArea>
    </chartFormat>
    <chartFormat chart="2" format="208">
      <pivotArea type="data" outline="0" fieldPosition="0">
        <references count="3">
          <reference field="4294967294" count="1" selected="0">
            <x v="0"/>
          </reference>
          <reference field="1" count="1" selected="0">
            <x v="9"/>
          </reference>
          <reference field="3" count="1" selected="0">
            <x v="6"/>
          </reference>
        </references>
      </pivotArea>
    </chartFormat>
    <chartFormat chart="2" format="209">
      <pivotArea type="data" outline="0" fieldPosition="0">
        <references count="3">
          <reference field="4294967294" count="1" selected="0">
            <x v="0"/>
          </reference>
          <reference field="1" count="1" selected="0">
            <x v="9"/>
          </reference>
          <reference field="3" count="1" selected="0">
            <x v="7"/>
          </reference>
        </references>
      </pivotArea>
    </chartFormat>
    <chartFormat chart="2" format="210" series="1">
      <pivotArea type="data" outline="0" fieldPosition="0">
        <references count="2">
          <reference field="4294967294" count="1" selected="0">
            <x v="0"/>
          </reference>
          <reference field="1" count="1" selected="0">
            <x v="10"/>
          </reference>
        </references>
      </pivotArea>
    </chartFormat>
    <chartFormat chart="2" format="211">
      <pivotArea type="data" outline="0" fieldPosition="0">
        <references count="3">
          <reference field="4294967294" count="1" selected="0">
            <x v="0"/>
          </reference>
          <reference field="1" count="1" selected="0">
            <x v="10"/>
          </reference>
          <reference field="3" count="1" selected="0">
            <x v="0"/>
          </reference>
        </references>
      </pivotArea>
    </chartFormat>
    <chartFormat chart="2" format="212">
      <pivotArea type="data" outline="0" fieldPosition="0">
        <references count="3">
          <reference field="4294967294" count="1" selected="0">
            <x v="0"/>
          </reference>
          <reference field="1" count="1" selected="0">
            <x v="10"/>
          </reference>
          <reference field="3" count="1" selected="0">
            <x v="1"/>
          </reference>
        </references>
      </pivotArea>
    </chartFormat>
    <chartFormat chart="2" format="213">
      <pivotArea type="data" outline="0" fieldPosition="0">
        <references count="3">
          <reference field="4294967294" count="1" selected="0">
            <x v="0"/>
          </reference>
          <reference field="1" count="1" selected="0">
            <x v="10"/>
          </reference>
          <reference field="3" count="1" selected="0">
            <x v="2"/>
          </reference>
        </references>
      </pivotArea>
    </chartFormat>
    <chartFormat chart="2" format="214">
      <pivotArea type="data" outline="0" fieldPosition="0">
        <references count="3">
          <reference field="4294967294" count="1" selected="0">
            <x v="0"/>
          </reference>
          <reference field="1" count="1" selected="0">
            <x v="10"/>
          </reference>
          <reference field="3" count="1" selected="0">
            <x v="3"/>
          </reference>
        </references>
      </pivotArea>
    </chartFormat>
    <chartFormat chart="2" format="215">
      <pivotArea type="data" outline="0" fieldPosition="0">
        <references count="3">
          <reference field="4294967294" count="1" selected="0">
            <x v="0"/>
          </reference>
          <reference field="1" count="1" selected="0">
            <x v="10"/>
          </reference>
          <reference field="3" count="1" selected="0">
            <x v="4"/>
          </reference>
        </references>
      </pivotArea>
    </chartFormat>
    <chartFormat chart="2" format="216">
      <pivotArea type="data" outline="0" fieldPosition="0">
        <references count="3">
          <reference field="4294967294" count="1" selected="0">
            <x v="0"/>
          </reference>
          <reference field="1" count="1" selected="0">
            <x v="10"/>
          </reference>
          <reference field="3" count="1" selected="0">
            <x v="5"/>
          </reference>
        </references>
      </pivotArea>
    </chartFormat>
    <chartFormat chart="2" format="217">
      <pivotArea type="data" outline="0" fieldPosition="0">
        <references count="3">
          <reference field="4294967294" count="1" selected="0">
            <x v="0"/>
          </reference>
          <reference field="1" count="1" selected="0">
            <x v="10"/>
          </reference>
          <reference field="3" count="1" selected="0">
            <x v="6"/>
          </reference>
        </references>
      </pivotArea>
    </chartFormat>
    <chartFormat chart="2" format="218">
      <pivotArea type="data" outline="0" fieldPosition="0">
        <references count="3">
          <reference field="4294967294" count="1" selected="0">
            <x v="0"/>
          </reference>
          <reference field="1" count="1" selected="0">
            <x v="10"/>
          </reference>
          <reference field="3" count="1" selected="0">
            <x v="7"/>
          </reference>
        </references>
      </pivotArea>
    </chartFormat>
    <chartFormat chart="2" format="219" series="1">
      <pivotArea type="data" outline="0" fieldPosition="0">
        <references count="2">
          <reference field="4294967294" count="1" selected="0">
            <x v="0"/>
          </reference>
          <reference field="1" count="1" selected="0">
            <x v="11"/>
          </reference>
        </references>
      </pivotArea>
    </chartFormat>
    <chartFormat chart="2" format="220">
      <pivotArea type="data" outline="0" fieldPosition="0">
        <references count="3">
          <reference field="4294967294" count="1" selected="0">
            <x v="0"/>
          </reference>
          <reference field="1" count="1" selected="0">
            <x v="11"/>
          </reference>
          <reference field="3" count="1" selected="0">
            <x v="0"/>
          </reference>
        </references>
      </pivotArea>
    </chartFormat>
    <chartFormat chart="2" format="221">
      <pivotArea type="data" outline="0" fieldPosition="0">
        <references count="3">
          <reference field="4294967294" count="1" selected="0">
            <x v="0"/>
          </reference>
          <reference field="1" count="1" selected="0">
            <x v="11"/>
          </reference>
          <reference field="3" count="1" selected="0">
            <x v="1"/>
          </reference>
        </references>
      </pivotArea>
    </chartFormat>
    <chartFormat chart="2" format="222">
      <pivotArea type="data" outline="0" fieldPosition="0">
        <references count="3">
          <reference field="4294967294" count="1" selected="0">
            <x v="0"/>
          </reference>
          <reference field="1" count="1" selected="0">
            <x v="11"/>
          </reference>
          <reference field="3" count="1" selected="0">
            <x v="2"/>
          </reference>
        </references>
      </pivotArea>
    </chartFormat>
    <chartFormat chart="2" format="223">
      <pivotArea type="data" outline="0" fieldPosition="0">
        <references count="3">
          <reference field="4294967294" count="1" selected="0">
            <x v="0"/>
          </reference>
          <reference field="1" count="1" selected="0">
            <x v="11"/>
          </reference>
          <reference field="3" count="1" selected="0">
            <x v="3"/>
          </reference>
        </references>
      </pivotArea>
    </chartFormat>
    <chartFormat chart="2" format="224">
      <pivotArea type="data" outline="0" fieldPosition="0">
        <references count="3">
          <reference field="4294967294" count="1" selected="0">
            <x v="0"/>
          </reference>
          <reference field="1" count="1" selected="0">
            <x v="11"/>
          </reference>
          <reference field="3" count="1" selected="0">
            <x v="4"/>
          </reference>
        </references>
      </pivotArea>
    </chartFormat>
    <chartFormat chart="2" format="225">
      <pivotArea type="data" outline="0" fieldPosition="0">
        <references count="3">
          <reference field="4294967294" count="1" selected="0">
            <x v="0"/>
          </reference>
          <reference field="1" count="1" selected="0">
            <x v="11"/>
          </reference>
          <reference field="3" count="1" selected="0">
            <x v="5"/>
          </reference>
        </references>
      </pivotArea>
    </chartFormat>
    <chartFormat chart="2" format="226">
      <pivotArea type="data" outline="0" fieldPosition="0">
        <references count="3">
          <reference field="4294967294" count="1" selected="0">
            <x v="0"/>
          </reference>
          <reference field="1" count="1" selected="0">
            <x v="11"/>
          </reference>
          <reference field="3" count="1" selected="0">
            <x v="6"/>
          </reference>
        </references>
      </pivotArea>
    </chartFormat>
    <chartFormat chart="2" format="227">
      <pivotArea type="data" outline="0" fieldPosition="0">
        <references count="3">
          <reference field="4294967294" count="1" selected="0">
            <x v="0"/>
          </reference>
          <reference field="1" count="1" selected="0">
            <x v="11"/>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C87B62-2D08-4B01-866F-50D6269AA83B}"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8:G29" firstHeaderRow="0" firstDataRow="1" firstDataCol="1"/>
  <pivotFields count="10">
    <pivotField showAll="0"/>
    <pivotField showAll="0">
      <items count="13">
        <item h="1" x="0"/>
        <item x="1"/>
        <item h="1" x="2"/>
        <item h="1" x="3"/>
        <item h="1" x="4"/>
        <item h="1" x="5"/>
        <item h="1" x="6"/>
        <item h="1" x="7"/>
        <item h="1" x="8"/>
        <item h="1" x="9"/>
        <item h="1" x="10"/>
        <item h="1" x="11"/>
        <item t="default"/>
      </items>
    </pivotField>
    <pivotField showAll="0"/>
    <pivotField showAll="0"/>
    <pivotField axis="axisRow" showAll="0">
      <items count="6">
        <item x="1"/>
        <item x="2"/>
        <item x="4"/>
        <item x="0"/>
        <item x="3"/>
        <item t="default"/>
      </items>
    </pivotField>
    <pivotField dataField="1" numFmtId="165" showAll="0"/>
    <pivotField dataField="1" numFmtId="165" showAll="0"/>
    <pivotField showAll="0"/>
    <pivotField showAll="0"/>
    <pivotField axis="axisRow" showAll="0">
      <items count="3">
        <item x="0"/>
        <item h="1" x="1"/>
        <item t="default"/>
      </items>
    </pivotField>
  </pivotFields>
  <rowFields count="2">
    <field x="4"/>
    <field x="9"/>
  </rowFields>
  <rowItems count="11">
    <i>
      <x/>
    </i>
    <i r="1">
      <x/>
    </i>
    <i>
      <x v="1"/>
    </i>
    <i r="1">
      <x/>
    </i>
    <i>
      <x v="2"/>
    </i>
    <i r="1">
      <x/>
    </i>
    <i>
      <x v="3"/>
    </i>
    <i r="1">
      <x/>
    </i>
    <i>
      <x v="4"/>
    </i>
    <i r="1">
      <x/>
    </i>
    <i t="grand">
      <x/>
    </i>
  </rowItems>
  <colFields count="1">
    <field x="-2"/>
  </colFields>
  <colItems count="2">
    <i>
      <x/>
    </i>
    <i i="1">
      <x v="1"/>
    </i>
  </colItems>
  <dataFields count="2">
    <dataField name="Budget" fld="5" baseField="0" baseItem="0" numFmtId="165"/>
    <dataField name="Actual" fld="6" baseField="0" baseItem="0" numFmtId="165"/>
  </dataFields>
  <chartFormats count="4">
    <chartFormat chart="2" format="72" series="1">
      <pivotArea type="data" outline="0" fieldPosition="0">
        <references count="1">
          <reference field="4294967294" count="1" selected="0">
            <x v="0"/>
          </reference>
        </references>
      </pivotArea>
    </chartFormat>
    <chartFormat chart="2" format="73" series="1">
      <pivotArea type="data" outline="0" fieldPosition="0">
        <references count="1">
          <reference field="4294967294" count="1" selected="0">
            <x v="1"/>
          </reference>
        </references>
      </pivotArea>
    </chartFormat>
    <chartFormat chart="1" format="48" series="1">
      <pivotArea type="data" outline="0" fieldPosition="0">
        <references count="1">
          <reference field="4294967294" count="1" selected="0">
            <x v="0"/>
          </reference>
        </references>
      </pivotArea>
    </chartFormat>
    <chartFormat chart="1" format="4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030828-6C95-4E6B-975E-787123FD7148}"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8:C21" firstHeaderRow="0" firstDataRow="1" firstDataCol="1"/>
  <pivotFields count="10">
    <pivotField showAll="0"/>
    <pivotField axis="axisRow" showAll="0">
      <items count="13">
        <item h="1" x="0"/>
        <item x="1"/>
        <item h="1" x="2"/>
        <item h="1" x="3"/>
        <item h="1" x="4"/>
        <item h="1" x="5"/>
        <item h="1" x="6"/>
        <item h="1" x="7"/>
        <item h="1" x="8"/>
        <item h="1" x="9"/>
        <item h="1" x="10"/>
        <item h="1" x="11"/>
        <item t="default"/>
      </items>
    </pivotField>
    <pivotField showAll="0"/>
    <pivotField showAll="0"/>
    <pivotField showAll="0">
      <items count="6">
        <item x="1"/>
        <item x="2"/>
        <item x="4"/>
        <item x="0"/>
        <item x="3"/>
        <item t="default"/>
      </items>
    </pivotField>
    <pivotField dataField="1" numFmtId="165" showAll="0"/>
    <pivotField dataField="1" numFmtId="165" showAll="0"/>
    <pivotField showAll="0"/>
    <pivotField showAll="0"/>
    <pivotField axis="axisRow" showAll="0">
      <items count="3">
        <item x="0"/>
        <item h="1" x="1"/>
        <item t="default"/>
      </items>
    </pivotField>
  </pivotFields>
  <rowFields count="2">
    <field x="1"/>
    <field x="9"/>
  </rowFields>
  <rowItems count="3">
    <i>
      <x v="1"/>
    </i>
    <i r="1">
      <x/>
    </i>
    <i t="grand">
      <x/>
    </i>
  </rowItems>
  <colFields count="1">
    <field x="-2"/>
  </colFields>
  <colItems count="2">
    <i>
      <x/>
    </i>
    <i i="1">
      <x v="1"/>
    </i>
  </colItems>
  <dataFields count="2">
    <dataField name="Budget" fld="5" baseField="0" baseItem="0" numFmtId="165"/>
    <dataField name="Actual" fld="6" baseField="0" baseItem="0" numFmtId="165"/>
  </dataField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434A70-0737-4FA8-9441-344DA84EDA64}"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C11" firstHeaderRow="1" firstDataRow="2" firstDataCol="1" rowPageCount="1" colPageCount="1"/>
  <pivotFields count="10">
    <pivotField showAll="0"/>
    <pivotField axis="axisCol" showAll="0">
      <items count="13">
        <item h="1" x="0"/>
        <item x="1"/>
        <item h="1" x="2"/>
        <item h="1" x="3"/>
        <item h="1" x="4"/>
        <item h="1" x="5"/>
        <item h="1" x="6"/>
        <item h="1" x="7"/>
        <item h="1" x="8"/>
        <item h="1" x="9"/>
        <item h="1" x="10"/>
        <item h="1" x="11"/>
        <item t="default"/>
      </items>
    </pivotField>
    <pivotField showAll="0"/>
    <pivotField axis="axisRow" showAll="0">
      <items count="9">
        <item x="2"/>
        <item x="3"/>
        <item x="6"/>
        <item x="0"/>
        <item x="7"/>
        <item x="5"/>
        <item x="4"/>
        <item x="1"/>
        <item t="default"/>
      </items>
    </pivotField>
    <pivotField showAll="0">
      <items count="6">
        <item x="1"/>
        <item x="2"/>
        <item x="4"/>
        <item x="0"/>
        <item x="3"/>
        <item t="default"/>
      </items>
    </pivotField>
    <pivotField dataField="1" numFmtId="165" showAll="0"/>
    <pivotField numFmtId="165" showAll="0"/>
    <pivotField showAll="0"/>
    <pivotField showAll="0"/>
    <pivotField axis="axisPage" multipleItemSelectionAllowed="1" showAll="0">
      <items count="3">
        <item x="0"/>
        <item h="1" x="1"/>
        <item t="default"/>
      </items>
    </pivotField>
  </pivotFields>
  <rowFields count="1">
    <field x="3"/>
  </rowFields>
  <rowItems count="7">
    <i>
      <x/>
    </i>
    <i>
      <x v="1"/>
    </i>
    <i>
      <x v="3"/>
    </i>
    <i>
      <x v="5"/>
    </i>
    <i>
      <x v="6"/>
    </i>
    <i>
      <x v="7"/>
    </i>
    <i t="grand">
      <x/>
    </i>
  </rowItems>
  <colFields count="1">
    <field x="1"/>
  </colFields>
  <colItems count="2">
    <i>
      <x v="1"/>
    </i>
    <i t="grand">
      <x/>
    </i>
  </colItems>
  <pageFields count="1">
    <pageField fld="9" hier="-1"/>
  </pageFields>
  <dataFields count="1">
    <dataField name="Budget" fld="5" baseField="0" baseItem="0" numFmtId="165"/>
  </dataFields>
  <chartFormats count="84">
    <chartFormat chart="27" format="196" series="1">
      <pivotArea type="data" outline="0" fieldPosition="0">
        <references count="2">
          <reference field="4294967294" count="1" selected="0">
            <x v="0"/>
          </reference>
          <reference field="1" count="1" selected="0">
            <x v="0"/>
          </reference>
        </references>
      </pivotArea>
    </chartFormat>
    <chartFormat chart="27" format="197">
      <pivotArea type="data" outline="0" fieldPosition="0">
        <references count="3">
          <reference field="4294967294" count="1" selected="0">
            <x v="0"/>
          </reference>
          <reference field="1" count="1" selected="0">
            <x v="0"/>
          </reference>
          <reference field="3" count="1" selected="0">
            <x v="0"/>
          </reference>
        </references>
      </pivotArea>
    </chartFormat>
    <chartFormat chart="27" format="198">
      <pivotArea type="data" outline="0" fieldPosition="0">
        <references count="3">
          <reference field="4294967294" count="1" selected="0">
            <x v="0"/>
          </reference>
          <reference field="1" count="1" selected="0">
            <x v="0"/>
          </reference>
          <reference field="3" count="1" selected="0">
            <x v="1"/>
          </reference>
        </references>
      </pivotArea>
    </chartFormat>
    <chartFormat chart="27" format="199">
      <pivotArea type="data" outline="0" fieldPosition="0">
        <references count="3">
          <reference field="4294967294" count="1" selected="0">
            <x v="0"/>
          </reference>
          <reference field="1" count="1" selected="0">
            <x v="0"/>
          </reference>
          <reference field="3" count="1" selected="0">
            <x v="3"/>
          </reference>
        </references>
      </pivotArea>
    </chartFormat>
    <chartFormat chart="27" format="200">
      <pivotArea type="data" outline="0" fieldPosition="0">
        <references count="3">
          <reference field="4294967294" count="1" selected="0">
            <x v="0"/>
          </reference>
          <reference field="1" count="1" selected="0">
            <x v="0"/>
          </reference>
          <reference field="3" count="1" selected="0">
            <x v="5"/>
          </reference>
        </references>
      </pivotArea>
    </chartFormat>
    <chartFormat chart="27" format="201">
      <pivotArea type="data" outline="0" fieldPosition="0">
        <references count="3">
          <reference field="4294967294" count="1" selected="0">
            <x v="0"/>
          </reference>
          <reference field="1" count="1" selected="0">
            <x v="0"/>
          </reference>
          <reference field="3" count="1" selected="0">
            <x v="6"/>
          </reference>
        </references>
      </pivotArea>
    </chartFormat>
    <chartFormat chart="27" format="202">
      <pivotArea type="data" outline="0" fieldPosition="0">
        <references count="3">
          <reference field="4294967294" count="1" selected="0">
            <x v="0"/>
          </reference>
          <reference field="1" count="1" selected="0">
            <x v="0"/>
          </reference>
          <reference field="3" count="1" selected="0">
            <x v="7"/>
          </reference>
        </references>
      </pivotArea>
    </chartFormat>
    <chartFormat chart="27" format="210" series="1">
      <pivotArea type="data" outline="0" fieldPosition="0">
        <references count="2">
          <reference field="4294967294" count="1" selected="0">
            <x v="0"/>
          </reference>
          <reference field="1" count="1" selected="0">
            <x v="1"/>
          </reference>
        </references>
      </pivotArea>
    </chartFormat>
    <chartFormat chart="27" format="211">
      <pivotArea type="data" outline="0" fieldPosition="0">
        <references count="3">
          <reference field="4294967294" count="1" selected="0">
            <x v="0"/>
          </reference>
          <reference field="1" count="1" selected="0">
            <x v="1"/>
          </reference>
          <reference field="3" count="1" selected="0">
            <x v="0"/>
          </reference>
        </references>
      </pivotArea>
    </chartFormat>
    <chartFormat chart="27" format="212">
      <pivotArea type="data" outline="0" fieldPosition="0">
        <references count="3">
          <reference field="4294967294" count="1" selected="0">
            <x v="0"/>
          </reference>
          <reference field="1" count="1" selected="0">
            <x v="1"/>
          </reference>
          <reference field="3" count="1" selected="0">
            <x v="1"/>
          </reference>
        </references>
      </pivotArea>
    </chartFormat>
    <chartFormat chart="27" format="213">
      <pivotArea type="data" outline="0" fieldPosition="0">
        <references count="3">
          <reference field="4294967294" count="1" selected="0">
            <x v="0"/>
          </reference>
          <reference field="1" count="1" selected="0">
            <x v="1"/>
          </reference>
          <reference field="3" count="1" selected="0">
            <x v="3"/>
          </reference>
        </references>
      </pivotArea>
    </chartFormat>
    <chartFormat chart="27" format="214">
      <pivotArea type="data" outline="0" fieldPosition="0">
        <references count="3">
          <reference field="4294967294" count="1" selected="0">
            <x v="0"/>
          </reference>
          <reference field="1" count="1" selected="0">
            <x v="1"/>
          </reference>
          <reference field="3" count="1" selected="0">
            <x v="5"/>
          </reference>
        </references>
      </pivotArea>
    </chartFormat>
    <chartFormat chart="27" format="215">
      <pivotArea type="data" outline="0" fieldPosition="0">
        <references count="3">
          <reference field="4294967294" count="1" selected="0">
            <x v="0"/>
          </reference>
          <reference field="1" count="1" selected="0">
            <x v="1"/>
          </reference>
          <reference field="3" count="1" selected="0">
            <x v="6"/>
          </reference>
        </references>
      </pivotArea>
    </chartFormat>
    <chartFormat chart="27" format="216">
      <pivotArea type="data" outline="0" fieldPosition="0">
        <references count="3">
          <reference field="4294967294" count="1" selected="0">
            <x v="0"/>
          </reference>
          <reference field="1" count="1" selected="0">
            <x v="1"/>
          </reference>
          <reference field="3" count="1" selected="0">
            <x v="7"/>
          </reference>
        </references>
      </pivotArea>
    </chartFormat>
    <chartFormat chart="27" format="224" series="1">
      <pivotArea type="data" outline="0" fieldPosition="0">
        <references count="2">
          <reference field="4294967294" count="1" selected="0">
            <x v="0"/>
          </reference>
          <reference field="1" count="1" selected="0">
            <x v="2"/>
          </reference>
        </references>
      </pivotArea>
    </chartFormat>
    <chartFormat chart="27" format="225">
      <pivotArea type="data" outline="0" fieldPosition="0">
        <references count="3">
          <reference field="4294967294" count="1" selected="0">
            <x v="0"/>
          </reference>
          <reference field="1" count="1" selected="0">
            <x v="2"/>
          </reference>
          <reference field="3" count="1" selected="0">
            <x v="0"/>
          </reference>
        </references>
      </pivotArea>
    </chartFormat>
    <chartFormat chart="27" format="226">
      <pivotArea type="data" outline="0" fieldPosition="0">
        <references count="3">
          <reference field="4294967294" count="1" selected="0">
            <x v="0"/>
          </reference>
          <reference field="1" count="1" selected="0">
            <x v="2"/>
          </reference>
          <reference field="3" count="1" selected="0">
            <x v="1"/>
          </reference>
        </references>
      </pivotArea>
    </chartFormat>
    <chartFormat chart="27" format="227">
      <pivotArea type="data" outline="0" fieldPosition="0">
        <references count="3">
          <reference field="4294967294" count="1" selected="0">
            <x v="0"/>
          </reference>
          <reference field="1" count="1" selected="0">
            <x v="2"/>
          </reference>
          <reference field="3" count="1" selected="0">
            <x v="3"/>
          </reference>
        </references>
      </pivotArea>
    </chartFormat>
    <chartFormat chart="27" format="228">
      <pivotArea type="data" outline="0" fieldPosition="0">
        <references count="3">
          <reference field="4294967294" count="1" selected="0">
            <x v="0"/>
          </reference>
          <reference field="1" count="1" selected="0">
            <x v="2"/>
          </reference>
          <reference field="3" count="1" selected="0">
            <x v="5"/>
          </reference>
        </references>
      </pivotArea>
    </chartFormat>
    <chartFormat chart="27" format="229">
      <pivotArea type="data" outline="0" fieldPosition="0">
        <references count="3">
          <reference field="4294967294" count="1" selected="0">
            <x v="0"/>
          </reference>
          <reference field="1" count="1" selected="0">
            <x v="2"/>
          </reference>
          <reference field="3" count="1" selected="0">
            <x v="6"/>
          </reference>
        </references>
      </pivotArea>
    </chartFormat>
    <chartFormat chart="27" format="230">
      <pivotArea type="data" outline="0" fieldPosition="0">
        <references count="3">
          <reference field="4294967294" count="1" selected="0">
            <x v="0"/>
          </reference>
          <reference field="1" count="1" selected="0">
            <x v="2"/>
          </reference>
          <reference field="3" count="1" selected="0">
            <x v="7"/>
          </reference>
        </references>
      </pivotArea>
    </chartFormat>
    <chartFormat chart="27" format="238" series="1">
      <pivotArea type="data" outline="0" fieldPosition="0">
        <references count="2">
          <reference field="4294967294" count="1" selected="0">
            <x v="0"/>
          </reference>
          <reference field="1" count="1" selected="0">
            <x v="3"/>
          </reference>
        </references>
      </pivotArea>
    </chartFormat>
    <chartFormat chart="27" format="239">
      <pivotArea type="data" outline="0" fieldPosition="0">
        <references count="3">
          <reference field="4294967294" count="1" selected="0">
            <x v="0"/>
          </reference>
          <reference field="1" count="1" selected="0">
            <x v="3"/>
          </reference>
          <reference field="3" count="1" selected="0">
            <x v="0"/>
          </reference>
        </references>
      </pivotArea>
    </chartFormat>
    <chartFormat chart="27" format="240">
      <pivotArea type="data" outline="0" fieldPosition="0">
        <references count="3">
          <reference field="4294967294" count="1" selected="0">
            <x v="0"/>
          </reference>
          <reference field="1" count="1" selected="0">
            <x v="3"/>
          </reference>
          <reference field="3" count="1" selected="0">
            <x v="1"/>
          </reference>
        </references>
      </pivotArea>
    </chartFormat>
    <chartFormat chart="27" format="241">
      <pivotArea type="data" outline="0" fieldPosition="0">
        <references count="3">
          <reference field="4294967294" count="1" selected="0">
            <x v="0"/>
          </reference>
          <reference field="1" count="1" selected="0">
            <x v="3"/>
          </reference>
          <reference field="3" count="1" selected="0">
            <x v="3"/>
          </reference>
        </references>
      </pivotArea>
    </chartFormat>
    <chartFormat chart="27" format="242">
      <pivotArea type="data" outline="0" fieldPosition="0">
        <references count="3">
          <reference field="4294967294" count="1" selected="0">
            <x v="0"/>
          </reference>
          <reference field="1" count="1" selected="0">
            <x v="3"/>
          </reference>
          <reference field="3" count="1" selected="0">
            <x v="5"/>
          </reference>
        </references>
      </pivotArea>
    </chartFormat>
    <chartFormat chart="27" format="243">
      <pivotArea type="data" outline="0" fieldPosition="0">
        <references count="3">
          <reference field="4294967294" count="1" selected="0">
            <x v="0"/>
          </reference>
          <reference field="1" count="1" selected="0">
            <x v="3"/>
          </reference>
          <reference field="3" count="1" selected="0">
            <x v="6"/>
          </reference>
        </references>
      </pivotArea>
    </chartFormat>
    <chartFormat chart="27" format="244">
      <pivotArea type="data" outline="0" fieldPosition="0">
        <references count="3">
          <reference field="4294967294" count="1" selected="0">
            <x v="0"/>
          </reference>
          <reference field="1" count="1" selected="0">
            <x v="3"/>
          </reference>
          <reference field="3" count="1" selected="0">
            <x v="7"/>
          </reference>
        </references>
      </pivotArea>
    </chartFormat>
    <chartFormat chart="27" format="252" series="1">
      <pivotArea type="data" outline="0" fieldPosition="0">
        <references count="2">
          <reference field="4294967294" count="1" selected="0">
            <x v="0"/>
          </reference>
          <reference field="1" count="1" selected="0">
            <x v="4"/>
          </reference>
        </references>
      </pivotArea>
    </chartFormat>
    <chartFormat chart="27" format="253">
      <pivotArea type="data" outline="0" fieldPosition="0">
        <references count="3">
          <reference field="4294967294" count="1" selected="0">
            <x v="0"/>
          </reference>
          <reference field="1" count="1" selected="0">
            <x v="4"/>
          </reference>
          <reference field="3" count="1" selected="0">
            <x v="0"/>
          </reference>
        </references>
      </pivotArea>
    </chartFormat>
    <chartFormat chart="27" format="254">
      <pivotArea type="data" outline="0" fieldPosition="0">
        <references count="3">
          <reference field="4294967294" count="1" selected="0">
            <x v="0"/>
          </reference>
          <reference field="1" count="1" selected="0">
            <x v="4"/>
          </reference>
          <reference field="3" count="1" selected="0">
            <x v="1"/>
          </reference>
        </references>
      </pivotArea>
    </chartFormat>
    <chartFormat chart="27" format="255">
      <pivotArea type="data" outline="0" fieldPosition="0">
        <references count="3">
          <reference field="4294967294" count="1" selected="0">
            <x v="0"/>
          </reference>
          <reference field="1" count="1" selected="0">
            <x v="4"/>
          </reference>
          <reference field="3" count="1" selected="0">
            <x v="3"/>
          </reference>
        </references>
      </pivotArea>
    </chartFormat>
    <chartFormat chart="27" format="256">
      <pivotArea type="data" outline="0" fieldPosition="0">
        <references count="3">
          <reference field="4294967294" count="1" selected="0">
            <x v="0"/>
          </reference>
          <reference field="1" count="1" selected="0">
            <x v="4"/>
          </reference>
          <reference field="3" count="1" selected="0">
            <x v="5"/>
          </reference>
        </references>
      </pivotArea>
    </chartFormat>
    <chartFormat chart="27" format="257">
      <pivotArea type="data" outline="0" fieldPosition="0">
        <references count="3">
          <reference field="4294967294" count="1" selected="0">
            <x v="0"/>
          </reference>
          <reference field="1" count="1" selected="0">
            <x v="4"/>
          </reference>
          <reference field="3" count="1" selected="0">
            <x v="6"/>
          </reference>
        </references>
      </pivotArea>
    </chartFormat>
    <chartFormat chart="27" format="258">
      <pivotArea type="data" outline="0" fieldPosition="0">
        <references count="3">
          <reference field="4294967294" count="1" selected="0">
            <x v="0"/>
          </reference>
          <reference field="1" count="1" selected="0">
            <x v="4"/>
          </reference>
          <reference field="3" count="1" selected="0">
            <x v="7"/>
          </reference>
        </references>
      </pivotArea>
    </chartFormat>
    <chartFormat chart="27" format="266" series="1">
      <pivotArea type="data" outline="0" fieldPosition="0">
        <references count="2">
          <reference field="4294967294" count="1" selected="0">
            <x v="0"/>
          </reference>
          <reference field="1" count="1" selected="0">
            <x v="5"/>
          </reference>
        </references>
      </pivotArea>
    </chartFormat>
    <chartFormat chart="27" format="267">
      <pivotArea type="data" outline="0" fieldPosition="0">
        <references count="3">
          <reference field="4294967294" count="1" selected="0">
            <x v="0"/>
          </reference>
          <reference field="1" count="1" selected="0">
            <x v="5"/>
          </reference>
          <reference field="3" count="1" selected="0">
            <x v="0"/>
          </reference>
        </references>
      </pivotArea>
    </chartFormat>
    <chartFormat chart="27" format="268">
      <pivotArea type="data" outline="0" fieldPosition="0">
        <references count="3">
          <reference field="4294967294" count="1" selected="0">
            <x v="0"/>
          </reference>
          <reference field="1" count="1" selected="0">
            <x v="5"/>
          </reference>
          <reference field="3" count="1" selected="0">
            <x v="1"/>
          </reference>
        </references>
      </pivotArea>
    </chartFormat>
    <chartFormat chart="27" format="269">
      <pivotArea type="data" outline="0" fieldPosition="0">
        <references count="3">
          <reference field="4294967294" count="1" selected="0">
            <x v="0"/>
          </reference>
          <reference field="1" count="1" selected="0">
            <x v="5"/>
          </reference>
          <reference field="3" count="1" selected="0">
            <x v="3"/>
          </reference>
        </references>
      </pivotArea>
    </chartFormat>
    <chartFormat chart="27" format="270">
      <pivotArea type="data" outline="0" fieldPosition="0">
        <references count="3">
          <reference field="4294967294" count="1" selected="0">
            <x v="0"/>
          </reference>
          <reference field="1" count="1" selected="0">
            <x v="5"/>
          </reference>
          <reference field="3" count="1" selected="0">
            <x v="5"/>
          </reference>
        </references>
      </pivotArea>
    </chartFormat>
    <chartFormat chart="27" format="271">
      <pivotArea type="data" outline="0" fieldPosition="0">
        <references count="3">
          <reference field="4294967294" count="1" selected="0">
            <x v="0"/>
          </reference>
          <reference field="1" count="1" selected="0">
            <x v="5"/>
          </reference>
          <reference field="3" count="1" selected="0">
            <x v="6"/>
          </reference>
        </references>
      </pivotArea>
    </chartFormat>
    <chartFormat chart="27" format="272">
      <pivotArea type="data" outline="0" fieldPosition="0">
        <references count="3">
          <reference field="4294967294" count="1" selected="0">
            <x v="0"/>
          </reference>
          <reference field="1" count="1" selected="0">
            <x v="5"/>
          </reference>
          <reference field="3" count="1" selected="0">
            <x v="7"/>
          </reference>
        </references>
      </pivotArea>
    </chartFormat>
    <chartFormat chart="27" format="280" series="1">
      <pivotArea type="data" outline="0" fieldPosition="0">
        <references count="2">
          <reference field="4294967294" count="1" selected="0">
            <x v="0"/>
          </reference>
          <reference field="1" count="1" selected="0">
            <x v="6"/>
          </reference>
        </references>
      </pivotArea>
    </chartFormat>
    <chartFormat chart="27" format="281">
      <pivotArea type="data" outline="0" fieldPosition="0">
        <references count="3">
          <reference field="4294967294" count="1" selected="0">
            <x v="0"/>
          </reference>
          <reference field="1" count="1" selected="0">
            <x v="6"/>
          </reference>
          <reference field="3" count="1" selected="0">
            <x v="0"/>
          </reference>
        </references>
      </pivotArea>
    </chartFormat>
    <chartFormat chart="27" format="282">
      <pivotArea type="data" outline="0" fieldPosition="0">
        <references count="3">
          <reference field="4294967294" count="1" selected="0">
            <x v="0"/>
          </reference>
          <reference field="1" count="1" selected="0">
            <x v="6"/>
          </reference>
          <reference field="3" count="1" selected="0">
            <x v="1"/>
          </reference>
        </references>
      </pivotArea>
    </chartFormat>
    <chartFormat chart="27" format="283">
      <pivotArea type="data" outline="0" fieldPosition="0">
        <references count="3">
          <reference field="4294967294" count="1" selected="0">
            <x v="0"/>
          </reference>
          <reference field="1" count="1" selected="0">
            <x v="6"/>
          </reference>
          <reference field="3" count="1" selected="0">
            <x v="3"/>
          </reference>
        </references>
      </pivotArea>
    </chartFormat>
    <chartFormat chart="27" format="284">
      <pivotArea type="data" outline="0" fieldPosition="0">
        <references count="3">
          <reference field="4294967294" count="1" selected="0">
            <x v="0"/>
          </reference>
          <reference field="1" count="1" selected="0">
            <x v="6"/>
          </reference>
          <reference field="3" count="1" selected="0">
            <x v="5"/>
          </reference>
        </references>
      </pivotArea>
    </chartFormat>
    <chartFormat chart="27" format="285">
      <pivotArea type="data" outline="0" fieldPosition="0">
        <references count="3">
          <reference field="4294967294" count="1" selected="0">
            <x v="0"/>
          </reference>
          <reference field="1" count="1" selected="0">
            <x v="6"/>
          </reference>
          <reference field="3" count="1" selected="0">
            <x v="6"/>
          </reference>
        </references>
      </pivotArea>
    </chartFormat>
    <chartFormat chart="27" format="286">
      <pivotArea type="data" outline="0" fieldPosition="0">
        <references count="3">
          <reference field="4294967294" count="1" selected="0">
            <x v="0"/>
          </reference>
          <reference field="1" count="1" selected="0">
            <x v="6"/>
          </reference>
          <reference field="3" count="1" selected="0">
            <x v="7"/>
          </reference>
        </references>
      </pivotArea>
    </chartFormat>
    <chartFormat chart="27" format="294" series="1">
      <pivotArea type="data" outline="0" fieldPosition="0">
        <references count="2">
          <reference field="4294967294" count="1" selected="0">
            <x v="0"/>
          </reference>
          <reference field="1" count="1" selected="0">
            <x v="7"/>
          </reference>
        </references>
      </pivotArea>
    </chartFormat>
    <chartFormat chart="27" format="295">
      <pivotArea type="data" outline="0" fieldPosition="0">
        <references count="3">
          <reference field="4294967294" count="1" selected="0">
            <x v="0"/>
          </reference>
          <reference field="1" count="1" selected="0">
            <x v="7"/>
          </reference>
          <reference field="3" count="1" selected="0">
            <x v="0"/>
          </reference>
        </references>
      </pivotArea>
    </chartFormat>
    <chartFormat chart="27" format="296">
      <pivotArea type="data" outline="0" fieldPosition="0">
        <references count="3">
          <reference field="4294967294" count="1" selected="0">
            <x v="0"/>
          </reference>
          <reference field="1" count="1" selected="0">
            <x v="7"/>
          </reference>
          <reference field="3" count="1" selected="0">
            <x v="1"/>
          </reference>
        </references>
      </pivotArea>
    </chartFormat>
    <chartFormat chart="27" format="297">
      <pivotArea type="data" outline="0" fieldPosition="0">
        <references count="3">
          <reference field="4294967294" count="1" selected="0">
            <x v="0"/>
          </reference>
          <reference field="1" count="1" selected="0">
            <x v="7"/>
          </reference>
          <reference field="3" count="1" selected="0">
            <x v="3"/>
          </reference>
        </references>
      </pivotArea>
    </chartFormat>
    <chartFormat chart="27" format="298">
      <pivotArea type="data" outline="0" fieldPosition="0">
        <references count="3">
          <reference field="4294967294" count="1" selected="0">
            <x v="0"/>
          </reference>
          <reference field="1" count="1" selected="0">
            <x v="7"/>
          </reference>
          <reference field="3" count="1" selected="0">
            <x v="5"/>
          </reference>
        </references>
      </pivotArea>
    </chartFormat>
    <chartFormat chart="27" format="299">
      <pivotArea type="data" outline="0" fieldPosition="0">
        <references count="3">
          <reference field="4294967294" count="1" selected="0">
            <x v="0"/>
          </reference>
          <reference field="1" count="1" selected="0">
            <x v="7"/>
          </reference>
          <reference field="3" count="1" selected="0">
            <x v="6"/>
          </reference>
        </references>
      </pivotArea>
    </chartFormat>
    <chartFormat chart="27" format="300">
      <pivotArea type="data" outline="0" fieldPosition="0">
        <references count="3">
          <reference field="4294967294" count="1" selected="0">
            <x v="0"/>
          </reference>
          <reference field="1" count="1" selected="0">
            <x v="7"/>
          </reference>
          <reference field="3" count="1" selected="0">
            <x v="7"/>
          </reference>
        </references>
      </pivotArea>
    </chartFormat>
    <chartFormat chart="27" format="308" series="1">
      <pivotArea type="data" outline="0" fieldPosition="0">
        <references count="2">
          <reference field="4294967294" count="1" selected="0">
            <x v="0"/>
          </reference>
          <reference field="1" count="1" selected="0">
            <x v="8"/>
          </reference>
        </references>
      </pivotArea>
    </chartFormat>
    <chartFormat chart="27" format="309">
      <pivotArea type="data" outline="0" fieldPosition="0">
        <references count="3">
          <reference field="4294967294" count="1" selected="0">
            <x v="0"/>
          </reference>
          <reference field="1" count="1" selected="0">
            <x v="8"/>
          </reference>
          <reference field="3" count="1" selected="0">
            <x v="0"/>
          </reference>
        </references>
      </pivotArea>
    </chartFormat>
    <chartFormat chart="27" format="310">
      <pivotArea type="data" outline="0" fieldPosition="0">
        <references count="3">
          <reference field="4294967294" count="1" selected="0">
            <x v="0"/>
          </reference>
          <reference field="1" count="1" selected="0">
            <x v="8"/>
          </reference>
          <reference field="3" count="1" selected="0">
            <x v="1"/>
          </reference>
        </references>
      </pivotArea>
    </chartFormat>
    <chartFormat chart="27" format="311">
      <pivotArea type="data" outline="0" fieldPosition="0">
        <references count="3">
          <reference field="4294967294" count="1" selected="0">
            <x v="0"/>
          </reference>
          <reference field="1" count="1" selected="0">
            <x v="8"/>
          </reference>
          <reference field="3" count="1" selected="0">
            <x v="3"/>
          </reference>
        </references>
      </pivotArea>
    </chartFormat>
    <chartFormat chart="27" format="312">
      <pivotArea type="data" outline="0" fieldPosition="0">
        <references count="3">
          <reference field="4294967294" count="1" selected="0">
            <x v="0"/>
          </reference>
          <reference field="1" count="1" selected="0">
            <x v="8"/>
          </reference>
          <reference field="3" count="1" selected="0">
            <x v="5"/>
          </reference>
        </references>
      </pivotArea>
    </chartFormat>
    <chartFormat chart="27" format="313">
      <pivotArea type="data" outline="0" fieldPosition="0">
        <references count="3">
          <reference field="4294967294" count="1" selected="0">
            <x v="0"/>
          </reference>
          <reference field="1" count="1" selected="0">
            <x v="8"/>
          </reference>
          <reference field="3" count="1" selected="0">
            <x v="6"/>
          </reference>
        </references>
      </pivotArea>
    </chartFormat>
    <chartFormat chart="27" format="314">
      <pivotArea type="data" outline="0" fieldPosition="0">
        <references count="3">
          <reference field="4294967294" count="1" selected="0">
            <x v="0"/>
          </reference>
          <reference field="1" count="1" selected="0">
            <x v="8"/>
          </reference>
          <reference field="3" count="1" selected="0">
            <x v="7"/>
          </reference>
        </references>
      </pivotArea>
    </chartFormat>
    <chartFormat chart="27" format="322" series="1">
      <pivotArea type="data" outline="0" fieldPosition="0">
        <references count="2">
          <reference field="4294967294" count="1" selected="0">
            <x v="0"/>
          </reference>
          <reference field="1" count="1" selected="0">
            <x v="9"/>
          </reference>
        </references>
      </pivotArea>
    </chartFormat>
    <chartFormat chart="27" format="323">
      <pivotArea type="data" outline="0" fieldPosition="0">
        <references count="3">
          <reference field="4294967294" count="1" selected="0">
            <x v="0"/>
          </reference>
          <reference field="1" count="1" selected="0">
            <x v="9"/>
          </reference>
          <reference field="3" count="1" selected="0">
            <x v="0"/>
          </reference>
        </references>
      </pivotArea>
    </chartFormat>
    <chartFormat chart="27" format="324">
      <pivotArea type="data" outline="0" fieldPosition="0">
        <references count="3">
          <reference field="4294967294" count="1" selected="0">
            <x v="0"/>
          </reference>
          <reference field="1" count="1" selected="0">
            <x v="9"/>
          </reference>
          <reference field="3" count="1" selected="0">
            <x v="1"/>
          </reference>
        </references>
      </pivotArea>
    </chartFormat>
    <chartFormat chart="27" format="325">
      <pivotArea type="data" outline="0" fieldPosition="0">
        <references count="3">
          <reference field="4294967294" count="1" selected="0">
            <x v="0"/>
          </reference>
          <reference field="1" count="1" selected="0">
            <x v="9"/>
          </reference>
          <reference field="3" count="1" selected="0">
            <x v="3"/>
          </reference>
        </references>
      </pivotArea>
    </chartFormat>
    <chartFormat chart="27" format="326">
      <pivotArea type="data" outline="0" fieldPosition="0">
        <references count="3">
          <reference field="4294967294" count="1" selected="0">
            <x v="0"/>
          </reference>
          <reference field="1" count="1" selected="0">
            <x v="9"/>
          </reference>
          <reference field="3" count="1" selected="0">
            <x v="5"/>
          </reference>
        </references>
      </pivotArea>
    </chartFormat>
    <chartFormat chart="27" format="327">
      <pivotArea type="data" outline="0" fieldPosition="0">
        <references count="3">
          <reference field="4294967294" count="1" selected="0">
            <x v="0"/>
          </reference>
          <reference field="1" count="1" selected="0">
            <x v="9"/>
          </reference>
          <reference field="3" count="1" selected="0">
            <x v="6"/>
          </reference>
        </references>
      </pivotArea>
    </chartFormat>
    <chartFormat chart="27" format="328">
      <pivotArea type="data" outline="0" fieldPosition="0">
        <references count="3">
          <reference field="4294967294" count="1" selected="0">
            <x v="0"/>
          </reference>
          <reference field="1" count="1" selected="0">
            <x v="9"/>
          </reference>
          <reference field="3" count="1" selected="0">
            <x v="7"/>
          </reference>
        </references>
      </pivotArea>
    </chartFormat>
    <chartFormat chart="27" format="336" series="1">
      <pivotArea type="data" outline="0" fieldPosition="0">
        <references count="2">
          <reference field="4294967294" count="1" selected="0">
            <x v="0"/>
          </reference>
          <reference field="1" count="1" selected="0">
            <x v="10"/>
          </reference>
        </references>
      </pivotArea>
    </chartFormat>
    <chartFormat chart="27" format="337">
      <pivotArea type="data" outline="0" fieldPosition="0">
        <references count="3">
          <reference field="4294967294" count="1" selected="0">
            <x v="0"/>
          </reference>
          <reference field="1" count="1" selected="0">
            <x v="10"/>
          </reference>
          <reference field="3" count="1" selected="0">
            <x v="0"/>
          </reference>
        </references>
      </pivotArea>
    </chartFormat>
    <chartFormat chart="27" format="338">
      <pivotArea type="data" outline="0" fieldPosition="0">
        <references count="3">
          <reference field="4294967294" count="1" selected="0">
            <x v="0"/>
          </reference>
          <reference field="1" count="1" selected="0">
            <x v="10"/>
          </reference>
          <reference field="3" count="1" selected="0">
            <x v="1"/>
          </reference>
        </references>
      </pivotArea>
    </chartFormat>
    <chartFormat chart="27" format="339">
      <pivotArea type="data" outline="0" fieldPosition="0">
        <references count="3">
          <reference field="4294967294" count="1" selected="0">
            <x v="0"/>
          </reference>
          <reference field="1" count="1" selected="0">
            <x v="10"/>
          </reference>
          <reference field="3" count="1" selected="0">
            <x v="3"/>
          </reference>
        </references>
      </pivotArea>
    </chartFormat>
    <chartFormat chart="27" format="340">
      <pivotArea type="data" outline="0" fieldPosition="0">
        <references count="3">
          <reference field="4294967294" count="1" selected="0">
            <x v="0"/>
          </reference>
          <reference field="1" count="1" selected="0">
            <x v="10"/>
          </reference>
          <reference field="3" count="1" selected="0">
            <x v="5"/>
          </reference>
        </references>
      </pivotArea>
    </chartFormat>
    <chartFormat chart="27" format="341">
      <pivotArea type="data" outline="0" fieldPosition="0">
        <references count="3">
          <reference field="4294967294" count="1" selected="0">
            <x v="0"/>
          </reference>
          <reference field="1" count="1" selected="0">
            <x v="10"/>
          </reference>
          <reference field="3" count="1" selected="0">
            <x v="6"/>
          </reference>
        </references>
      </pivotArea>
    </chartFormat>
    <chartFormat chart="27" format="342">
      <pivotArea type="data" outline="0" fieldPosition="0">
        <references count="3">
          <reference field="4294967294" count="1" selected="0">
            <x v="0"/>
          </reference>
          <reference field="1" count="1" selected="0">
            <x v="10"/>
          </reference>
          <reference field="3" count="1" selected="0">
            <x v="7"/>
          </reference>
        </references>
      </pivotArea>
    </chartFormat>
    <chartFormat chart="27" format="350" series="1">
      <pivotArea type="data" outline="0" fieldPosition="0">
        <references count="2">
          <reference field="4294967294" count="1" selected="0">
            <x v="0"/>
          </reference>
          <reference field="1" count="1" selected="0">
            <x v="11"/>
          </reference>
        </references>
      </pivotArea>
    </chartFormat>
    <chartFormat chart="27" format="351">
      <pivotArea type="data" outline="0" fieldPosition="0">
        <references count="3">
          <reference field="4294967294" count="1" selected="0">
            <x v="0"/>
          </reference>
          <reference field="1" count="1" selected="0">
            <x v="11"/>
          </reference>
          <reference field="3" count="1" selected="0">
            <x v="0"/>
          </reference>
        </references>
      </pivotArea>
    </chartFormat>
    <chartFormat chart="27" format="352">
      <pivotArea type="data" outline="0" fieldPosition="0">
        <references count="3">
          <reference field="4294967294" count="1" selected="0">
            <x v="0"/>
          </reference>
          <reference field="1" count="1" selected="0">
            <x v="11"/>
          </reference>
          <reference field="3" count="1" selected="0">
            <x v="1"/>
          </reference>
        </references>
      </pivotArea>
    </chartFormat>
    <chartFormat chart="27" format="353">
      <pivotArea type="data" outline="0" fieldPosition="0">
        <references count="3">
          <reference field="4294967294" count="1" selected="0">
            <x v="0"/>
          </reference>
          <reference field="1" count="1" selected="0">
            <x v="11"/>
          </reference>
          <reference field="3" count="1" selected="0">
            <x v="3"/>
          </reference>
        </references>
      </pivotArea>
    </chartFormat>
    <chartFormat chart="27" format="354">
      <pivotArea type="data" outline="0" fieldPosition="0">
        <references count="3">
          <reference field="4294967294" count="1" selected="0">
            <x v="0"/>
          </reference>
          <reference field="1" count="1" selected="0">
            <x v="11"/>
          </reference>
          <reference field="3" count="1" selected="0">
            <x v="5"/>
          </reference>
        </references>
      </pivotArea>
    </chartFormat>
    <chartFormat chart="27" format="355">
      <pivotArea type="data" outline="0" fieldPosition="0">
        <references count="3">
          <reference field="4294967294" count="1" selected="0">
            <x v="0"/>
          </reference>
          <reference field="1" count="1" selected="0">
            <x v="11"/>
          </reference>
          <reference field="3" count="1" selected="0">
            <x v="6"/>
          </reference>
        </references>
      </pivotArea>
    </chartFormat>
    <chartFormat chart="27" format="356">
      <pivotArea type="data" outline="0" fieldPosition="0">
        <references count="3">
          <reference field="4294967294" count="1" selected="0">
            <x v="0"/>
          </reference>
          <reference field="1" count="1" selected="0">
            <x v="11"/>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42B6FDB-F0A9-4215-9D37-2905ECE025F8}" sourceName="Month">
  <pivotTables>
    <pivotTable tabId="3" name="PivotTable11"/>
    <pivotTable tabId="3" name="PivotTable12"/>
    <pivotTable tabId="3" name="PivotTable13"/>
  </pivotTables>
  <data>
    <tabular pivotCacheId="112146258">
      <items count="12">
        <i x="0"/>
        <i x="1" s="1"/>
        <i x="2"/>
        <i x="3"/>
        <i x="4"/>
        <i x="5"/>
        <i x="6"/>
        <i x="7"/>
        <i x="8"/>
        <i x="9"/>
        <i x="10"/>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3D52D5-E435-47D2-8B7E-565FCD939FBC}" sourceName="Region">
  <pivotTables>
    <pivotTable tabId="3" name="PivotTable11"/>
    <pivotTable tabId="3" name="PivotTable12"/>
    <pivotTable tabId="3" name="PivotTable13"/>
  </pivotTables>
  <data>
    <tabular pivotCacheId="112146258">
      <items count="5">
        <i x="1" s="1"/>
        <i x="2" s="1"/>
        <i x="4"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Type" xr10:uid="{33EF7434-78F1-4B89-8E49-221E8FF94909}" sourceName="Financial Type">
  <pivotTables>
    <pivotTable tabId="3" name="PivotTable11"/>
    <pivotTable tabId="3" name="PivotTable12"/>
    <pivotTable tabId="3" name="PivotTable13"/>
    <pivotTable tabId="3" name="PivotTable1"/>
  </pivotTables>
  <data>
    <tabular pivotCacheId="112146258">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99951DF-E784-490C-82D2-FC60EF0CE29B}" cache="Slicer_Month" caption="Month" rowHeight="241300"/>
  <slicer name="Region" xr10:uid="{46BB8805-E074-4F4D-BCE4-2B036C43AF32}" cache="Slicer_Region" caption="Region" rowHeight="241300"/>
  <slicer name="Financial Type" xr10:uid="{5E223B6B-FFF4-4013-AE44-734A2EEB9299}" cache="Slicer_Financial_Type" caption="Financial 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258DC-1A86-4704-85ED-C3BDAEDE97B5}">
  <dimension ref="A1"/>
  <sheetViews>
    <sheetView showGridLines="0" tabSelected="1" zoomScale="85" zoomScaleNormal="85" workbookViewId="0">
      <selection activeCell="AG25" sqref="AG25"/>
    </sheetView>
  </sheetViews>
  <sheetFormatPr defaultRowHeight="15" x14ac:dyDescent="0.25"/>
  <cols>
    <col min="1" max="16384" width="9.140625" style="2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67BBC-CD83-46B2-8987-4031F67E0E9B}">
  <dimension ref="B2:V22"/>
  <sheetViews>
    <sheetView showGridLines="0" topLeftCell="A6" workbookViewId="0">
      <selection activeCell="G22" sqref="G22"/>
    </sheetView>
  </sheetViews>
  <sheetFormatPr defaultRowHeight="15" x14ac:dyDescent="0.25"/>
  <cols>
    <col min="2" max="2" width="24.28515625" customWidth="1"/>
    <col min="3" max="3" width="13.140625" customWidth="1"/>
    <col min="4" max="4" width="12.28515625" bestFit="1" customWidth="1"/>
    <col min="5" max="5" width="2.85546875" customWidth="1"/>
    <col min="6" max="6" width="12.28515625" bestFit="1" customWidth="1"/>
    <col min="7" max="7" width="11.28515625" customWidth="1"/>
    <col min="9" max="9" width="26.28515625" customWidth="1"/>
    <col min="15" max="15" width="2.7109375" customWidth="1"/>
  </cols>
  <sheetData>
    <row r="2" spans="2:22" ht="21" x14ac:dyDescent="0.35">
      <c r="B2" s="2" t="s">
        <v>205</v>
      </c>
      <c r="C2" s="1"/>
      <c r="D2" s="1"/>
      <c r="E2" s="1"/>
      <c r="F2" s="1"/>
      <c r="G2" s="1"/>
    </row>
    <row r="3" spans="2:22" x14ac:dyDescent="0.25">
      <c r="B3" s="10" t="s">
        <v>311</v>
      </c>
      <c r="C3" s="24">
        <v>2025</v>
      </c>
    </row>
    <row r="4" spans="2:22" x14ac:dyDescent="0.25">
      <c r="D4" s="22"/>
    </row>
    <row r="5" spans="2:22" x14ac:dyDescent="0.25">
      <c r="B5" s="10" t="s">
        <v>204</v>
      </c>
      <c r="C5" s="6" t="s">
        <v>50</v>
      </c>
      <c r="D5" s="23"/>
    </row>
    <row r="6" spans="2:22" x14ac:dyDescent="0.25">
      <c r="C6" s="7"/>
      <c r="D6" s="7"/>
    </row>
    <row r="7" spans="2:22" x14ac:dyDescent="0.25">
      <c r="B7" s="8" t="s">
        <v>208</v>
      </c>
      <c r="C7" s="11" t="s">
        <v>209</v>
      </c>
      <c r="D7" s="11" t="s">
        <v>210</v>
      </c>
      <c r="F7" s="11" t="s">
        <v>214</v>
      </c>
      <c r="G7" s="11" t="s">
        <v>215</v>
      </c>
      <c r="I7" s="28" t="s">
        <v>216</v>
      </c>
      <c r="J7" s="28"/>
      <c r="K7" s="28"/>
      <c r="L7" s="28"/>
      <c r="M7" s="28"/>
      <c r="N7" s="28"/>
      <c r="O7" s="19"/>
      <c r="P7" s="28" t="s">
        <v>217</v>
      </c>
      <c r="Q7" s="28"/>
      <c r="R7" s="28"/>
      <c r="S7" s="28"/>
      <c r="T7" s="28"/>
      <c r="U7" s="28"/>
      <c r="V7" s="28"/>
    </row>
    <row r="8" spans="2:22" x14ac:dyDescent="0.25">
      <c r="B8" t="s">
        <v>211</v>
      </c>
      <c r="C8" s="9"/>
      <c r="D8" s="9"/>
      <c r="E8" s="9"/>
      <c r="F8" s="9"/>
      <c r="G8" s="9"/>
      <c r="H8" s="9"/>
      <c r="I8" s="9"/>
      <c r="J8" s="9"/>
      <c r="K8" s="9"/>
      <c r="L8" s="9"/>
    </row>
    <row r="9" spans="2:22" x14ac:dyDescent="0.25">
      <c r="B9" s="4" t="s">
        <v>11</v>
      </c>
      <c r="C9" s="15">
        <f>SUMIFS('Clean Ledger Data'!F:F,'Clean Ledger Data'!D:D,Dashboard!B9,'Clean Ledger Data'!B:B,Dashboard!$C$5)</f>
        <v>443559</v>
      </c>
      <c r="D9" s="15">
        <f>SUMIFS('Clean Ledger Data'!G:G,'Clean Ledger Data'!D:D,Dashboard!B9,'Clean Ledger Data'!B:B,Dashboard!$C$5)</f>
        <v>459069</v>
      </c>
      <c r="E9" s="15"/>
      <c r="F9" s="15">
        <f>D9-C9</f>
        <v>15510</v>
      </c>
      <c r="G9" s="12">
        <f>D9/C9-1</f>
        <v>3.4967163331146578E-2</v>
      </c>
      <c r="H9" s="9"/>
      <c r="I9" s="9"/>
      <c r="J9" s="9"/>
      <c r="K9" s="9"/>
      <c r="L9" s="9"/>
    </row>
    <row r="10" spans="2:22" x14ac:dyDescent="0.25">
      <c r="B10" s="4" t="s">
        <v>221</v>
      </c>
      <c r="C10" s="15">
        <f>SUMIFS('Clean Ledger Data'!F:F,'Clean Ledger Data'!D:D,Dashboard!B10,'Clean Ledger Data'!B:B,Dashboard!$C$5)</f>
        <v>127713</v>
      </c>
      <c r="D10" s="15">
        <f>SUMIFS('Clean Ledger Data'!G:G,'Clean Ledger Data'!D:D,Dashboard!B10,'Clean Ledger Data'!B:B,Dashboard!$C$5)</f>
        <v>125945</v>
      </c>
      <c r="E10" s="15"/>
      <c r="F10" s="15">
        <f>D10-C10</f>
        <v>-1768</v>
      </c>
      <c r="G10" s="12">
        <f>D10/C10-1</f>
        <v>-1.384353981192199E-2</v>
      </c>
      <c r="H10" s="9"/>
      <c r="I10" s="9"/>
      <c r="J10" s="9"/>
      <c r="K10" s="9"/>
      <c r="L10" s="9"/>
    </row>
    <row r="11" spans="2:22" x14ac:dyDescent="0.25">
      <c r="B11" s="5" t="s">
        <v>316</v>
      </c>
      <c r="C11" s="16">
        <f>SUM(C9:C10)</f>
        <v>571272</v>
      </c>
      <c r="D11" s="16">
        <f>SUM(D9:D10)</f>
        <v>585014</v>
      </c>
      <c r="E11" s="15"/>
      <c r="F11" s="15">
        <f t="shared" ref="F11" si="0">D11-C11</f>
        <v>13742</v>
      </c>
      <c r="G11" s="12">
        <f t="shared" ref="G11" si="1">D11/C11-1</f>
        <v>2.4055091094959957E-2</v>
      </c>
      <c r="H11" s="9"/>
      <c r="I11" s="9"/>
      <c r="J11" s="9"/>
      <c r="K11" s="9"/>
      <c r="L11" s="9"/>
    </row>
    <row r="12" spans="2:22" x14ac:dyDescent="0.25">
      <c r="C12" s="15"/>
      <c r="D12" s="15"/>
      <c r="E12" s="15"/>
      <c r="F12" s="15"/>
      <c r="G12" s="12"/>
      <c r="H12" s="9"/>
      <c r="I12" s="9"/>
      <c r="J12" s="9"/>
      <c r="K12" s="9"/>
      <c r="L12" s="9"/>
    </row>
    <row r="13" spans="2:22" x14ac:dyDescent="0.25">
      <c r="B13" t="s">
        <v>212</v>
      </c>
      <c r="C13" s="15"/>
      <c r="D13" s="15"/>
      <c r="E13" s="15"/>
      <c r="F13" s="15"/>
      <c r="G13" s="12"/>
      <c r="H13" s="9"/>
      <c r="I13" s="9"/>
      <c r="J13" s="9"/>
      <c r="K13" s="9"/>
      <c r="L13" s="9"/>
    </row>
    <row r="14" spans="2:22" x14ac:dyDescent="0.25">
      <c r="B14" s="4" t="s">
        <v>17</v>
      </c>
      <c r="C14" s="15">
        <f>SUMIFS('Clean Ledger Data'!F:F,'Clean Ledger Data'!D:D,Dashboard!B14,'Clean Ledger Data'!B:B,Dashboard!$C$5)</f>
        <v>12668</v>
      </c>
      <c r="D14" s="15">
        <f>SUMIFS('Clean Ledger Data'!G:G,'Clean Ledger Data'!D:D,Dashboard!B14,'Clean Ledger Data'!B:B,Dashboard!$C$5)</f>
        <v>13113</v>
      </c>
      <c r="E14" s="15"/>
      <c r="F14" s="15">
        <f>C14-D14</f>
        <v>-445</v>
      </c>
      <c r="G14" s="12">
        <f>C14/D14-1</f>
        <v>-3.3935788911766962E-2</v>
      </c>
      <c r="H14" s="9"/>
      <c r="I14" s="9"/>
      <c r="J14" s="9"/>
      <c r="K14" s="9"/>
      <c r="L14" s="9"/>
    </row>
    <row r="15" spans="2:22" x14ac:dyDescent="0.25">
      <c r="B15" s="4" t="s">
        <v>22</v>
      </c>
      <c r="C15" s="15">
        <f>SUMIFS('Clean Ledger Data'!F:F,'Clean Ledger Data'!D:D,Dashboard!B15,'Clean Ledger Data'!B:B,Dashboard!$C$5)</f>
        <v>76115</v>
      </c>
      <c r="D15" s="15">
        <f>SUMIFS('Clean Ledger Data'!G:G,'Clean Ledger Data'!D:D,Dashboard!B15,'Clean Ledger Data'!B:B,Dashboard!$C$5)</f>
        <v>78894</v>
      </c>
      <c r="E15" s="15"/>
      <c r="F15" s="15">
        <f t="shared" ref="F15:F22" si="2">C15-D15</f>
        <v>-2779</v>
      </c>
      <c r="G15" s="12">
        <f t="shared" ref="G15:G22" si="3">C15/D15-1</f>
        <v>-3.5224478414074611E-2</v>
      </c>
      <c r="H15" s="9"/>
      <c r="I15" s="9"/>
      <c r="J15" s="9"/>
      <c r="K15" s="9"/>
      <c r="L15" s="9"/>
    </row>
    <row r="16" spans="2:22" x14ac:dyDescent="0.25">
      <c r="B16" s="4" t="s">
        <v>28</v>
      </c>
      <c r="C16" s="15">
        <f>SUMIFS('Clean Ledger Data'!F:F,'Clean Ledger Data'!D:D,Dashboard!B16,'Clean Ledger Data'!B:B,Dashboard!$C$5)</f>
        <v>324477</v>
      </c>
      <c r="D16" s="15">
        <f>SUMIFS('Clean Ledger Data'!G:G,'Clean Ledger Data'!D:D,Dashboard!B16,'Clean Ledger Data'!B:B,Dashboard!$C$5)</f>
        <v>326577</v>
      </c>
      <c r="E16" s="15"/>
      <c r="F16" s="15">
        <f t="shared" si="2"/>
        <v>-2100</v>
      </c>
      <c r="G16" s="12">
        <f t="shared" si="3"/>
        <v>-6.4303364903223192E-3</v>
      </c>
      <c r="H16" s="9"/>
      <c r="I16" s="9"/>
      <c r="J16" s="9"/>
      <c r="K16" s="9"/>
      <c r="L16" s="9"/>
    </row>
    <row r="17" spans="2:12" x14ac:dyDescent="0.25">
      <c r="B17" s="4" t="s">
        <v>31</v>
      </c>
      <c r="C17" s="15">
        <f>SUMIFS('Clean Ledger Data'!F:F,'Clean Ledger Data'!D:D,Dashboard!B17,'Clean Ledger Data'!B:B,Dashboard!$C$5)</f>
        <v>23679</v>
      </c>
      <c r="D17" s="15">
        <f>SUMIFS('Clean Ledger Data'!G:G,'Clean Ledger Data'!D:D,Dashboard!B17,'Clean Ledger Data'!B:B,Dashboard!$C$5)</f>
        <v>22137</v>
      </c>
      <c r="E17" s="15"/>
      <c r="F17" s="15">
        <f t="shared" si="2"/>
        <v>1542</v>
      </c>
      <c r="G17" s="12">
        <f t="shared" si="3"/>
        <v>6.9657135113158963E-2</v>
      </c>
      <c r="H17" s="9"/>
      <c r="I17" s="9"/>
      <c r="J17" s="9"/>
      <c r="K17" s="9"/>
      <c r="L17" s="9"/>
    </row>
    <row r="18" spans="2:12" x14ac:dyDescent="0.25">
      <c r="B18" s="4" t="s">
        <v>34</v>
      </c>
      <c r="C18" s="15">
        <f>SUMIFS('Clean Ledger Data'!F:F,'Clean Ledger Data'!D:D,Dashboard!B18,'Clean Ledger Data'!B:B,Dashboard!$C$5)</f>
        <v>40954</v>
      </c>
      <c r="D18" s="15">
        <f>SUMIFS('Clean Ledger Data'!G:G,'Clean Ledger Data'!D:D,Dashboard!B18,'Clean Ledger Data'!B:B,Dashboard!$C$5)</f>
        <v>43825</v>
      </c>
      <c r="E18" s="15"/>
      <c r="F18" s="15">
        <f t="shared" si="2"/>
        <v>-2871</v>
      </c>
      <c r="G18" s="12">
        <f t="shared" si="3"/>
        <v>-6.551055333713629E-2</v>
      </c>
      <c r="H18" s="9"/>
      <c r="I18" s="9"/>
      <c r="J18" s="9"/>
      <c r="K18" s="9"/>
      <c r="L18" s="9"/>
    </row>
    <row r="19" spans="2:12" x14ac:dyDescent="0.25">
      <c r="B19" s="4" t="s">
        <v>63</v>
      </c>
      <c r="C19" s="15">
        <f>SUMIFS('Clean Ledger Data'!F:F,'Clean Ledger Data'!D:D,Dashboard!B19,'Clean Ledger Data'!B:B,Dashboard!$C$5)</f>
        <v>13797</v>
      </c>
      <c r="D19" s="15">
        <f>SUMIFS('Clean Ledger Data'!G:G,'Clean Ledger Data'!D:D,Dashboard!B19,'Clean Ledger Data'!B:B,Dashboard!$C$5)</f>
        <v>15353</v>
      </c>
      <c r="E19" s="15"/>
      <c r="F19" s="15">
        <f t="shared" si="2"/>
        <v>-1556</v>
      </c>
      <c r="G19" s="12">
        <f t="shared" si="3"/>
        <v>-0.10134827069628083</v>
      </c>
      <c r="H19" s="9"/>
      <c r="I19" s="9"/>
      <c r="J19" s="9"/>
      <c r="K19" s="9"/>
      <c r="L19" s="9"/>
    </row>
    <row r="20" spans="2:12" x14ac:dyDescent="0.25">
      <c r="B20" s="5" t="s">
        <v>213</v>
      </c>
      <c r="C20" s="16">
        <f>SUM(C14:C19)</f>
        <v>491690</v>
      </c>
      <c r="D20" s="16">
        <f>SUM(D14:D19)</f>
        <v>499899</v>
      </c>
      <c r="E20" s="15"/>
      <c r="F20" s="15">
        <f t="shared" si="2"/>
        <v>-8209</v>
      </c>
      <c r="G20" s="12">
        <f t="shared" si="3"/>
        <v>-1.6421317106055433E-2</v>
      </c>
      <c r="H20" s="9"/>
      <c r="I20" s="9"/>
      <c r="J20" s="9"/>
      <c r="K20" s="9"/>
      <c r="L20" s="9"/>
    </row>
    <row r="21" spans="2:12" x14ac:dyDescent="0.25">
      <c r="C21" s="15"/>
      <c r="D21" s="15"/>
      <c r="E21" s="15"/>
      <c r="F21" s="15"/>
      <c r="G21" s="12"/>
    </row>
    <row r="22" spans="2:12" x14ac:dyDescent="0.25">
      <c r="B22" s="13" t="s">
        <v>315</v>
      </c>
      <c r="C22" s="17">
        <f>C11-C20</f>
        <v>79582</v>
      </c>
      <c r="D22" s="17">
        <f>D11-D20</f>
        <v>85115</v>
      </c>
      <c r="E22" s="15"/>
      <c r="F22" s="18">
        <f t="shared" si="2"/>
        <v>-5533</v>
      </c>
      <c r="G22" s="14">
        <f t="shared" si="3"/>
        <v>-6.5006168125477326E-2</v>
      </c>
    </row>
  </sheetData>
  <mergeCells count="2">
    <mergeCell ref="I7:N7"/>
    <mergeCell ref="P7:V7"/>
  </mergeCells>
  <conditionalFormatting sqref="F9:G22">
    <cfRule type="cellIs" dxfId="1" priority="1" operator="lessThan">
      <formula>0</formula>
    </cfRule>
    <cfRule type="cellIs" dxfId="0" priority="2" operator="greaterThan">
      <formula>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8B0D71D-8E55-437A-97ED-B13F257D7BE1}">
          <x14:formula1>
            <xm:f>'Clean Ledger Data'!$B$2:$B$152</xm:f>
          </x14:formula1>
          <xm:sqref>C5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5AAB4-6243-464F-83AE-529245CDEFEB}">
  <dimension ref="A1:AA29"/>
  <sheetViews>
    <sheetView showGridLines="0" workbookViewId="0">
      <selection activeCell="B21" sqref="B21"/>
    </sheetView>
  </sheetViews>
  <sheetFormatPr defaultRowHeight="15" x14ac:dyDescent="0.25"/>
  <cols>
    <col min="1" max="1" width="13.140625" bestFit="1" customWidth="1"/>
    <col min="2" max="4" width="8.5703125" bestFit="1" customWidth="1"/>
    <col min="5" max="5" width="13.140625" bestFit="1" customWidth="1"/>
    <col min="6" max="8" width="8.5703125" bestFit="1" customWidth="1"/>
    <col min="9" max="9" width="10.140625" bestFit="1" customWidth="1"/>
    <col min="10" max="10" width="21" bestFit="1" customWidth="1"/>
    <col min="11" max="11" width="16.28515625" bestFit="1" customWidth="1"/>
    <col min="12" max="12" width="8.85546875" bestFit="1" customWidth="1"/>
    <col min="13" max="18" width="8.5703125" bestFit="1" customWidth="1"/>
    <col min="19" max="19" width="10.85546875" bestFit="1" customWidth="1"/>
    <col min="20" max="20" width="8.5703125" bestFit="1" customWidth="1"/>
    <col min="21" max="21" width="10.42578125" bestFit="1" customWidth="1"/>
    <col min="22" max="22" width="10.140625" bestFit="1" customWidth="1"/>
    <col min="23" max="23" width="11.28515625" bestFit="1" customWidth="1"/>
    <col min="24" max="24" width="10.140625" bestFit="1" customWidth="1"/>
    <col min="25" max="25" width="8.5703125" bestFit="1" customWidth="1"/>
    <col min="26" max="26" width="12.140625" bestFit="1" customWidth="1"/>
    <col min="27" max="27" width="11.42578125" bestFit="1" customWidth="1"/>
    <col min="28" max="28" width="21.85546875" bestFit="1" customWidth="1"/>
    <col min="29" max="29" width="21" bestFit="1" customWidth="1"/>
    <col min="30" max="30" width="26.85546875" bestFit="1" customWidth="1"/>
    <col min="31" max="31" width="26.140625" bestFit="1" customWidth="1"/>
  </cols>
  <sheetData>
    <row r="1" spans="1:11" x14ac:dyDescent="0.25">
      <c r="A1" s="25" t="s">
        <v>9</v>
      </c>
      <c r="B1" t="s">
        <v>20</v>
      </c>
    </row>
    <row r="3" spans="1:11" x14ac:dyDescent="0.25">
      <c r="A3" s="25" t="s">
        <v>329</v>
      </c>
      <c r="B3" s="25" t="s">
        <v>314</v>
      </c>
    </row>
    <row r="4" spans="1:11" x14ac:dyDescent="0.25">
      <c r="A4" s="25" t="s">
        <v>312</v>
      </c>
      <c r="B4" t="s">
        <v>50</v>
      </c>
      <c r="C4" t="s">
        <v>313</v>
      </c>
    </row>
    <row r="5" spans="1:11" x14ac:dyDescent="0.25">
      <c r="A5" s="26" t="s">
        <v>22</v>
      </c>
      <c r="B5" s="21">
        <v>76115</v>
      </c>
      <c r="C5" s="21">
        <v>76115</v>
      </c>
    </row>
    <row r="6" spans="1:11" x14ac:dyDescent="0.25">
      <c r="A6" s="26" t="s">
        <v>34</v>
      </c>
      <c r="B6" s="21">
        <v>40954</v>
      </c>
      <c r="C6" s="21">
        <v>40954</v>
      </c>
    </row>
    <row r="7" spans="1:11" x14ac:dyDescent="0.25">
      <c r="A7" s="26" t="s">
        <v>28</v>
      </c>
      <c r="B7" s="21">
        <v>324477</v>
      </c>
      <c r="C7" s="21">
        <v>324477</v>
      </c>
    </row>
    <row r="8" spans="1:11" x14ac:dyDescent="0.25">
      <c r="A8" s="26" t="s">
        <v>63</v>
      </c>
      <c r="B8" s="21">
        <v>13797</v>
      </c>
      <c r="C8" s="21">
        <v>13797</v>
      </c>
    </row>
    <row r="9" spans="1:11" x14ac:dyDescent="0.25">
      <c r="A9" s="26" t="s">
        <v>17</v>
      </c>
      <c r="B9" s="21">
        <v>12668</v>
      </c>
      <c r="C9" s="21">
        <v>12668</v>
      </c>
    </row>
    <row r="10" spans="1:11" x14ac:dyDescent="0.25">
      <c r="A10" s="26" t="s">
        <v>31</v>
      </c>
      <c r="B10" s="21">
        <v>23679</v>
      </c>
      <c r="C10" s="21">
        <v>23679</v>
      </c>
    </row>
    <row r="11" spans="1:11" x14ac:dyDescent="0.25">
      <c r="A11" s="26" t="s">
        <v>313</v>
      </c>
      <c r="B11" s="21">
        <v>491690</v>
      </c>
      <c r="C11" s="21">
        <v>491690</v>
      </c>
    </row>
    <row r="16" spans="1:11" x14ac:dyDescent="0.25">
      <c r="J16" s="25" t="s">
        <v>9</v>
      </c>
      <c r="K16" t="s">
        <v>20</v>
      </c>
    </row>
    <row r="17" spans="1:27" x14ac:dyDescent="0.25">
      <c r="A17" s="26"/>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row>
    <row r="18" spans="1:27" x14ac:dyDescent="0.25">
      <c r="A18" s="25" t="s">
        <v>312</v>
      </c>
      <c r="B18" t="s">
        <v>329</v>
      </c>
      <c r="C18" t="s">
        <v>210</v>
      </c>
      <c r="E18" s="25" t="s">
        <v>312</v>
      </c>
      <c r="F18" t="s">
        <v>329</v>
      </c>
      <c r="G18" t="s">
        <v>210</v>
      </c>
      <c r="J18" s="25" t="s">
        <v>317</v>
      </c>
      <c r="K18" s="25" t="s">
        <v>314</v>
      </c>
    </row>
    <row r="19" spans="1:27" x14ac:dyDescent="0.25">
      <c r="A19" s="26" t="s">
        <v>50</v>
      </c>
      <c r="B19" s="21">
        <v>491690</v>
      </c>
      <c r="C19" s="21">
        <v>499899</v>
      </c>
      <c r="E19" s="26" t="s">
        <v>12</v>
      </c>
      <c r="F19" s="21">
        <v>141534</v>
      </c>
      <c r="G19" s="21">
        <v>145195</v>
      </c>
      <c r="J19" s="25" t="s">
        <v>312</v>
      </c>
      <c r="K19" t="s">
        <v>318</v>
      </c>
      <c r="L19" t="s">
        <v>50</v>
      </c>
      <c r="M19" t="s">
        <v>319</v>
      </c>
      <c r="N19" t="s">
        <v>320</v>
      </c>
      <c r="O19" t="s">
        <v>321</v>
      </c>
      <c r="P19" t="s">
        <v>324</v>
      </c>
      <c r="Q19" t="s">
        <v>323</v>
      </c>
      <c r="R19" t="s">
        <v>322</v>
      </c>
      <c r="S19" t="s">
        <v>325</v>
      </c>
      <c r="T19" t="s">
        <v>326</v>
      </c>
      <c r="U19" t="s">
        <v>327</v>
      </c>
      <c r="V19" t="s">
        <v>328</v>
      </c>
      <c r="W19" t="s">
        <v>313</v>
      </c>
    </row>
    <row r="20" spans="1:27" x14ac:dyDescent="0.25">
      <c r="A20" s="4" t="s">
        <v>20</v>
      </c>
      <c r="B20" s="21">
        <v>491690</v>
      </c>
      <c r="C20" s="21">
        <v>499899</v>
      </c>
      <c r="E20" s="4" t="s">
        <v>20</v>
      </c>
      <c r="F20" s="21">
        <v>141534</v>
      </c>
      <c r="G20" s="21">
        <v>145195</v>
      </c>
      <c r="J20" s="26" t="s">
        <v>22</v>
      </c>
      <c r="K20" s="21">
        <v>58614</v>
      </c>
      <c r="L20" s="21">
        <v>78894</v>
      </c>
      <c r="M20" s="21">
        <v>23607</v>
      </c>
      <c r="N20" s="21">
        <v>20286</v>
      </c>
      <c r="O20" s="21">
        <v>44297</v>
      </c>
      <c r="P20" s="21">
        <v>39120</v>
      </c>
      <c r="Q20" s="21">
        <v>47588</v>
      </c>
      <c r="R20" s="21">
        <v>22481</v>
      </c>
      <c r="S20" s="21">
        <v>36050</v>
      </c>
      <c r="T20" s="21">
        <v>38017</v>
      </c>
      <c r="U20" s="21">
        <v>45468</v>
      </c>
      <c r="V20" s="21">
        <v>51898</v>
      </c>
      <c r="W20" s="21">
        <v>506320</v>
      </c>
    </row>
    <row r="21" spans="1:27" x14ac:dyDescent="0.25">
      <c r="A21" s="26" t="s">
        <v>313</v>
      </c>
      <c r="B21" s="21">
        <v>491690</v>
      </c>
      <c r="C21" s="21">
        <v>499899</v>
      </c>
      <c r="E21" s="26" t="s">
        <v>37</v>
      </c>
      <c r="F21" s="21">
        <v>23679</v>
      </c>
      <c r="G21" s="21">
        <v>22137</v>
      </c>
      <c r="J21" s="26" t="s">
        <v>34</v>
      </c>
      <c r="K21" s="21">
        <v>25367</v>
      </c>
      <c r="L21" s="21">
        <v>43825</v>
      </c>
      <c r="M21" s="21">
        <v>18659</v>
      </c>
      <c r="N21" s="21">
        <v>50017</v>
      </c>
      <c r="O21" s="21">
        <v>73134</v>
      </c>
      <c r="P21" s="21">
        <v>29840</v>
      </c>
      <c r="Q21" s="21">
        <v>17966</v>
      </c>
      <c r="R21" s="21">
        <v>51999</v>
      </c>
      <c r="S21" s="21">
        <v>21254</v>
      </c>
      <c r="T21" s="21">
        <v>68632</v>
      </c>
      <c r="U21" s="21">
        <v>18718</v>
      </c>
      <c r="V21" s="21">
        <v>63971</v>
      </c>
      <c r="W21" s="21">
        <v>483382</v>
      </c>
    </row>
    <row r="22" spans="1:27" x14ac:dyDescent="0.25">
      <c r="E22" s="4" t="s">
        <v>20</v>
      </c>
      <c r="F22" s="21">
        <v>23679</v>
      </c>
      <c r="G22" s="21">
        <v>22137</v>
      </c>
      <c r="J22" s="26" t="s">
        <v>28</v>
      </c>
      <c r="K22" s="21">
        <v>304544</v>
      </c>
      <c r="L22" s="21">
        <v>326577</v>
      </c>
      <c r="M22" s="21">
        <v>309825</v>
      </c>
      <c r="N22" s="21">
        <v>305777</v>
      </c>
      <c r="O22" s="21">
        <v>319171</v>
      </c>
      <c r="P22" s="21">
        <v>302755</v>
      </c>
      <c r="Q22" s="21">
        <v>319768</v>
      </c>
      <c r="R22" s="21">
        <v>333927</v>
      </c>
      <c r="S22" s="21">
        <v>303170</v>
      </c>
      <c r="T22" s="21">
        <v>335955</v>
      </c>
      <c r="U22" s="21">
        <v>322846</v>
      </c>
      <c r="V22" s="21">
        <v>334451</v>
      </c>
      <c r="W22" s="21">
        <v>3818766</v>
      </c>
    </row>
    <row r="23" spans="1:27" x14ac:dyDescent="0.25">
      <c r="E23" s="26" t="s">
        <v>32</v>
      </c>
      <c r="F23" s="21">
        <v>107977</v>
      </c>
      <c r="G23" s="21">
        <v>109264</v>
      </c>
      <c r="J23" s="26" t="s">
        <v>63</v>
      </c>
      <c r="K23" s="21">
        <v>19889</v>
      </c>
      <c r="L23" s="21">
        <v>15353</v>
      </c>
      <c r="M23" s="21">
        <v>8839</v>
      </c>
      <c r="N23" s="21"/>
      <c r="O23" s="21">
        <v>5987</v>
      </c>
      <c r="P23" s="21"/>
      <c r="Q23" s="21">
        <v>8007</v>
      </c>
      <c r="R23" s="21"/>
      <c r="S23" s="21">
        <v>9124</v>
      </c>
      <c r="T23" s="21"/>
      <c r="U23" s="21">
        <v>11318</v>
      </c>
      <c r="V23" s="21">
        <v>15748</v>
      </c>
      <c r="W23" s="21">
        <v>94265</v>
      </c>
    </row>
    <row r="24" spans="1:27" x14ac:dyDescent="0.25">
      <c r="E24" s="4" t="s">
        <v>20</v>
      </c>
      <c r="F24" s="21">
        <v>107977</v>
      </c>
      <c r="G24" s="21">
        <v>109264</v>
      </c>
      <c r="J24" s="26" t="s">
        <v>17</v>
      </c>
      <c r="K24" s="21">
        <v>17138</v>
      </c>
      <c r="L24" s="21">
        <v>13113</v>
      </c>
      <c r="M24" s="21">
        <v>18428</v>
      </c>
      <c r="N24" s="21">
        <v>5149</v>
      </c>
      <c r="O24" s="21">
        <v>8422</v>
      </c>
      <c r="P24" s="21">
        <v>11913</v>
      </c>
      <c r="Q24" s="21">
        <v>20892</v>
      </c>
      <c r="R24" s="21">
        <v>18446</v>
      </c>
      <c r="S24" s="21">
        <v>10287</v>
      </c>
      <c r="T24" s="21">
        <v>13130</v>
      </c>
      <c r="U24" s="21">
        <v>7254</v>
      </c>
      <c r="V24" s="21">
        <v>18215</v>
      </c>
      <c r="W24" s="21">
        <v>162387</v>
      </c>
    </row>
    <row r="25" spans="1:27" x14ac:dyDescent="0.25">
      <c r="E25" s="26" t="s">
        <v>29</v>
      </c>
      <c r="F25" s="21">
        <v>122509</v>
      </c>
      <c r="G25" s="21">
        <v>125754</v>
      </c>
      <c r="J25" s="26" t="s">
        <v>31</v>
      </c>
      <c r="K25" s="21">
        <v>40864</v>
      </c>
      <c r="L25" s="21">
        <v>22137</v>
      </c>
      <c r="M25" s="21">
        <v>78036</v>
      </c>
      <c r="N25" s="21">
        <v>20481</v>
      </c>
      <c r="O25" s="21">
        <v>40730</v>
      </c>
      <c r="P25" s="21">
        <v>16800</v>
      </c>
      <c r="Q25" s="21">
        <v>25000</v>
      </c>
      <c r="R25" s="21">
        <v>23519</v>
      </c>
      <c r="S25" s="21">
        <v>40922</v>
      </c>
      <c r="T25" s="21">
        <v>53451</v>
      </c>
      <c r="U25" s="21">
        <v>82370</v>
      </c>
      <c r="V25" s="21">
        <v>40025</v>
      </c>
      <c r="W25" s="21">
        <v>484335</v>
      </c>
    </row>
    <row r="26" spans="1:27" x14ac:dyDescent="0.25">
      <c r="E26" s="4" t="s">
        <v>20</v>
      </c>
      <c r="F26" s="21">
        <v>122509</v>
      </c>
      <c r="G26" s="21">
        <v>125754</v>
      </c>
      <c r="J26" s="26" t="s">
        <v>313</v>
      </c>
      <c r="K26" s="21">
        <v>466416</v>
      </c>
      <c r="L26" s="21">
        <v>499899</v>
      </c>
      <c r="M26" s="21">
        <v>457394</v>
      </c>
      <c r="N26" s="21">
        <v>401710</v>
      </c>
      <c r="O26" s="21">
        <v>491741</v>
      </c>
      <c r="P26" s="21">
        <v>400428</v>
      </c>
      <c r="Q26" s="21">
        <v>439221</v>
      </c>
      <c r="R26" s="21">
        <v>450372</v>
      </c>
      <c r="S26" s="21">
        <v>420807</v>
      </c>
      <c r="T26" s="21">
        <v>509185</v>
      </c>
      <c r="U26" s="21">
        <v>487974</v>
      </c>
      <c r="V26" s="21">
        <v>524308</v>
      </c>
      <c r="W26" s="21">
        <v>5549455</v>
      </c>
    </row>
    <row r="27" spans="1:27" x14ac:dyDescent="0.25">
      <c r="E27" s="26" t="s">
        <v>23</v>
      </c>
      <c r="F27" s="21">
        <v>95991</v>
      </c>
      <c r="G27" s="21">
        <v>97549</v>
      </c>
    </row>
    <row r="28" spans="1:27" x14ac:dyDescent="0.25">
      <c r="E28" s="4" t="s">
        <v>20</v>
      </c>
      <c r="F28" s="21">
        <v>95991</v>
      </c>
      <c r="G28" s="21">
        <v>97549</v>
      </c>
    </row>
    <row r="29" spans="1:27" x14ac:dyDescent="0.25">
      <c r="E29" s="26" t="s">
        <v>313</v>
      </c>
      <c r="F29" s="21">
        <v>491690</v>
      </c>
      <c r="G29" s="21">
        <v>499899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2"/>
  <sheetViews>
    <sheetView topLeftCell="A176" workbookViewId="0">
      <selection activeCell="B2" sqref="B2"/>
    </sheetView>
  </sheetViews>
  <sheetFormatPr defaultRowHeight="15" x14ac:dyDescent="0.25"/>
  <cols>
    <col min="1" max="1" width="18.28515625" bestFit="1" customWidth="1"/>
    <col min="2" max="2" width="10.85546875" bestFit="1" customWidth="1"/>
    <col min="3" max="3" width="11.7109375" bestFit="1" customWidth="1"/>
    <col min="4" max="4" width="16.28515625" bestFit="1" customWidth="1"/>
    <col min="6" max="6" width="15" bestFit="1" customWidth="1"/>
    <col min="7" max="7" width="14.28515625" bestFit="1" customWidth="1"/>
    <col min="8" max="8" width="16.5703125" bestFit="1" customWidth="1"/>
    <col min="9" max="9" width="13.5703125" bestFit="1" customWidth="1"/>
    <col min="10" max="10" width="13.7109375" bestFit="1" customWidth="1"/>
    <col min="12" max="12" width="16.28515625" bestFit="1" customWidth="1"/>
    <col min="13" max="13" width="13.140625" bestFit="1" customWidth="1"/>
  </cols>
  <sheetData>
    <row r="1" spans="1:13" x14ac:dyDescent="0.25">
      <c r="A1" s="20" t="s">
        <v>0</v>
      </c>
      <c r="B1" s="20" t="s">
        <v>1</v>
      </c>
      <c r="C1" s="20" t="s">
        <v>2</v>
      </c>
      <c r="D1" s="20" t="s">
        <v>3</v>
      </c>
      <c r="E1" s="20" t="s">
        <v>4</v>
      </c>
      <c r="F1" s="20" t="s">
        <v>5</v>
      </c>
      <c r="G1" s="20" t="s">
        <v>6</v>
      </c>
      <c r="H1" s="20" t="s">
        <v>7</v>
      </c>
      <c r="I1" s="20" t="s">
        <v>8</v>
      </c>
      <c r="J1" s="20" t="s">
        <v>9</v>
      </c>
      <c r="L1" s="3" t="s">
        <v>206</v>
      </c>
      <c r="M1" s="3" t="s">
        <v>207</v>
      </c>
    </row>
    <row r="2" spans="1:13" x14ac:dyDescent="0.25">
      <c r="A2" t="s">
        <v>218</v>
      </c>
      <c r="B2" t="str">
        <f>TEXT(A2,"mmmm")</f>
        <v>January</v>
      </c>
      <c r="C2" t="s">
        <v>10</v>
      </c>
      <c r="D2" t="s">
        <v>28</v>
      </c>
      <c r="E2" t="s">
        <v>29</v>
      </c>
      <c r="F2" s="21">
        <v>55476</v>
      </c>
      <c r="G2" s="21">
        <v>54613</v>
      </c>
      <c r="H2" t="s">
        <v>18</v>
      </c>
      <c r="I2" t="s">
        <v>173</v>
      </c>
      <c r="J2" t="s">
        <v>20</v>
      </c>
      <c r="L2" t="str" cm="1">
        <f t="array" ref="L2:L9">_xlfn.UNIQUE(D2:D202)</f>
        <v>Salaries</v>
      </c>
      <c r="M2" t="s">
        <v>20</v>
      </c>
    </row>
    <row r="3" spans="1:13" x14ac:dyDescent="0.25">
      <c r="A3" t="s">
        <v>218</v>
      </c>
      <c r="B3" t="str">
        <f t="shared" ref="B3:B66" si="0">TEXT(A3,"mmmm")</f>
        <v>January</v>
      </c>
      <c r="C3" t="s">
        <v>16</v>
      </c>
      <c r="D3" t="s">
        <v>28</v>
      </c>
      <c r="E3" t="s">
        <v>12</v>
      </c>
      <c r="F3" s="21">
        <v>49012</v>
      </c>
      <c r="G3" s="21">
        <v>48469</v>
      </c>
      <c r="H3" t="s">
        <v>18</v>
      </c>
      <c r="I3" t="s">
        <v>88</v>
      </c>
      <c r="J3" t="s">
        <v>20</v>
      </c>
      <c r="L3" t="str">
        <v>Utilities</v>
      </c>
      <c r="M3" t="s">
        <v>20</v>
      </c>
    </row>
    <row r="4" spans="1:13" x14ac:dyDescent="0.25">
      <c r="A4" t="s">
        <v>218</v>
      </c>
      <c r="B4" t="str">
        <f t="shared" si="0"/>
        <v>January</v>
      </c>
      <c r="C4" t="s">
        <v>21</v>
      </c>
      <c r="D4" t="s">
        <v>28</v>
      </c>
      <c r="E4" t="s">
        <v>37</v>
      </c>
      <c r="F4" s="21">
        <v>56087</v>
      </c>
      <c r="G4" s="21">
        <v>56626</v>
      </c>
      <c r="H4" t="s">
        <v>18</v>
      </c>
      <c r="I4" t="s">
        <v>81</v>
      </c>
      <c r="J4" t="s">
        <v>20</v>
      </c>
      <c r="L4" t="str">
        <v>Infrastructure</v>
      </c>
      <c r="M4" t="s">
        <v>20</v>
      </c>
    </row>
    <row r="5" spans="1:13" x14ac:dyDescent="0.25">
      <c r="A5" t="s">
        <v>218</v>
      </c>
      <c r="B5" t="str">
        <f t="shared" si="0"/>
        <v>January</v>
      </c>
      <c r="C5" t="s">
        <v>40</v>
      </c>
      <c r="D5" t="s">
        <v>28</v>
      </c>
      <c r="E5" t="s">
        <v>12</v>
      </c>
      <c r="F5" s="21">
        <v>46424</v>
      </c>
      <c r="G5" s="21">
        <v>46592</v>
      </c>
      <c r="H5" t="s">
        <v>18</v>
      </c>
      <c r="I5" t="s">
        <v>186</v>
      </c>
      <c r="J5" t="s">
        <v>20</v>
      </c>
      <c r="L5" t="str">
        <v>Marketing Spend</v>
      </c>
      <c r="M5" t="s">
        <v>20</v>
      </c>
    </row>
    <row r="6" spans="1:13" x14ac:dyDescent="0.25">
      <c r="A6" t="s">
        <v>218</v>
      </c>
      <c r="B6" t="str">
        <f t="shared" si="0"/>
        <v>January</v>
      </c>
      <c r="C6" t="s">
        <v>46</v>
      </c>
      <c r="D6" t="s">
        <v>28</v>
      </c>
      <c r="E6" t="s">
        <v>23</v>
      </c>
      <c r="F6" s="21">
        <v>45488</v>
      </c>
      <c r="G6" s="21">
        <v>44748</v>
      </c>
      <c r="H6" t="s">
        <v>18</v>
      </c>
      <c r="I6" t="s">
        <v>74</v>
      </c>
      <c r="J6" t="s">
        <v>20</v>
      </c>
      <c r="L6" t="str">
        <v>Travel</v>
      </c>
      <c r="M6" t="s">
        <v>20</v>
      </c>
    </row>
    <row r="7" spans="1:13" x14ac:dyDescent="0.25">
      <c r="A7" t="s">
        <v>218</v>
      </c>
      <c r="B7" t="str">
        <f t="shared" si="0"/>
        <v>January</v>
      </c>
      <c r="C7" t="s">
        <v>48</v>
      </c>
      <c r="D7" t="s">
        <v>28</v>
      </c>
      <c r="E7" t="s">
        <v>37</v>
      </c>
      <c r="F7" s="21">
        <v>53279</v>
      </c>
      <c r="G7" s="21">
        <v>53496</v>
      </c>
      <c r="H7" t="s">
        <v>18</v>
      </c>
      <c r="I7" t="s">
        <v>99</v>
      </c>
      <c r="J7" t="s">
        <v>20</v>
      </c>
      <c r="L7" t="str">
        <v>Training</v>
      </c>
      <c r="M7" t="s">
        <v>20</v>
      </c>
    </row>
    <row r="8" spans="1:13" x14ac:dyDescent="0.25">
      <c r="A8" t="s">
        <v>219</v>
      </c>
      <c r="B8" t="str">
        <f t="shared" si="0"/>
        <v>January</v>
      </c>
      <c r="C8" t="s">
        <v>46</v>
      </c>
      <c r="D8" t="s">
        <v>31</v>
      </c>
      <c r="E8" t="s">
        <v>32</v>
      </c>
      <c r="F8" s="21">
        <v>38462</v>
      </c>
      <c r="G8" s="21">
        <v>40864</v>
      </c>
      <c r="H8" t="s">
        <v>35</v>
      </c>
      <c r="I8" t="s">
        <v>92</v>
      </c>
      <c r="J8" t="s">
        <v>20</v>
      </c>
      <c r="L8" t="str">
        <v>Product Revenue</v>
      </c>
      <c r="M8" t="s">
        <v>15</v>
      </c>
    </row>
    <row r="9" spans="1:13" x14ac:dyDescent="0.25">
      <c r="A9" t="s">
        <v>219</v>
      </c>
      <c r="B9" t="str">
        <f t="shared" si="0"/>
        <v>January</v>
      </c>
      <c r="C9" t="s">
        <v>10</v>
      </c>
      <c r="D9" t="s">
        <v>22</v>
      </c>
      <c r="E9" t="s">
        <v>23</v>
      </c>
      <c r="F9" s="21">
        <v>34309</v>
      </c>
      <c r="G9" s="21">
        <v>33264</v>
      </c>
      <c r="H9" t="s">
        <v>13</v>
      </c>
      <c r="I9" t="s">
        <v>56</v>
      </c>
      <c r="J9" t="s">
        <v>20</v>
      </c>
      <c r="L9" t="str">
        <v>Service Revenue</v>
      </c>
      <c r="M9" t="s">
        <v>15</v>
      </c>
    </row>
    <row r="10" spans="1:13" x14ac:dyDescent="0.25">
      <c r="A10" t="s">
        <v>219</v>
      </c>
      <c r="B10" t="str">
        <f t="shared" si="0"/>
        <v>January</v>
      </c>
      <c r="C10" t="s">
        <v>16</v>
      </c>
      <c r="D10" t="s">
        <v>22</v>
      </c>
      <c r="E10" t="s">
        <v>29</v>
      </c>
      <c r="F10" s="21">
        <v>26149</v>
      </c>
      <c r="G10" s="21">
        <v>25350</v>
      </c>
      <c r="H10" t="s">
        <v>18</v>
      </c>
      <c r="I10" t="s">
        <v>194</v>
      </c>
      <c r="J10" t="s">
        <v>20</v>
      </c>
    </row>
    <row r="11" spans="1:13" x14ac:dyDescent="0.25">
      <c r="A11" t="s">
        <v>219</v>
      </c>
      <c r="B11" t="str">
        <f t="shared" si="0"/>
        <v>January</v>
      </c>
      <c r="C11" t="s">
        <v>21</v>
      </c>
      <c r="D11" t="s">
        <v>34</v>
      </c>
      <c r="E11" t="s">
        <v>37</v>
      </c>
      <c r="F11" s="21">
        <v>27449</v>
      </c>
      <c r="G11" s="21">
        <v>25367</v>
      </c>
      <c r="H11" t="s">
        <v>24</v>
      </c>
      <c r="I11" t="s">
        <v>71</v>
      </c>
      <c r="J11" t="s">
        <v>20</v>
      </c>
    </row>
    <row r="12" spans="1:13" x14ac:dyDescent="0.25">
      <c r="A12" t="s">
        <v>27</v>
      </c>
      <c r="B12" t="str">
        <f t="shared" si="0"/>
        <v>January</v>
      </c>
      <c r="C12" t="s">
        <v>10</v>
      </c>
      <c r="D12" t="s">
        <v>17</v>
      </c>
      <c r="E12" t="s">
        <v>32</v>
      </c>
      <c r="F12" s="21">
        <v>16955</v>
      </c>
      <c r="G12" s="21">
        <v>17138</v>
      </c>
      <c r="H12" t="s">
        <v>18</v>
      </c>
      <c r="I12" t="s">
        <v>43</v>
      </c>
      <c r="J12" t="s">
        <v>20</v>
      </c>
    </row>
    <row r="13" spans="1:13" x14ac:dyDescent="0.25">
      <c r="A13" t="s">
        <v>27</v>
      </c>
      <c r="B13" t="str">
        <f t="shared" si="0"/>
        <v>January</v>
      </c>
      <c r="C13" t="s">
        <v>21</v>
      </c>
      <c r="D13" t="s">
        <v>63</v>
      </c>
      <c r="E13" t="s">
        <v>37</v>
      </c>
      <c r="F13" s="21">
        <v>18588</v>
      </c>
      <c r="G13" s="21">
        <v>19889</v>
      </c>
      <c r="H13" t="s">
        <v>35</v>
      </c>
      <c r="I13" t="s">
        <v>132</v>
      </c>
      <c r="J13" t="s">
        <v>20</v>
      </c>
    </row>
    <row r="14" spans="1:13" x14ac:dyDescent="0.25">
      <c r="A14" t="s">
        <v>220</v>
      </c>
      <c r="B14" t="str">
        <f t="shared" si="0"/>
        <v>January</v>
      </c>
      <c r="C14" t="s">
        <v>48</v>
      </c>
      <c r="D14" t="s">
        <v>11</v>
      </c>
      <c r="E14" t="s">
        <v>29</v>
      </c>
      <c r="F14" s="21">
        <v>109116</v>
      </c>
      <c r="G14" s="21">
        <v>104510</v>
      </c>
      <c r="H14" t="s">
        <v>18</v>
      </c>
      <c r="I14" t="s">
        <v>153</v>
      </c>
      <c r="J14" t="s">
        <v>15</v>
      </c>
    </row>
    <row r="15" spans="1:13" x14ac:dyDescent="0.25">
      <c r="A15" t="s">
        <v>220</v>
      </c>
      <c r="B15" t="str">
        <f t="shared" si="0"/>
        <v>January</v>
      </c>
      <c r="C15" t="s">
        <v>21</v>
      </c>
      <c r="D15" t="s">
        <v>11</v>
      </c>
      <c r="E15" t="s">
        <v>29</v>
      </c>
      <c r="F15" s="21">
        <v>130512</v>
      </c>
      <c r="G15" s="21">
        <v>143211</v>
      </c>
      <c r="H15" t="s">
        <v>13</v>
      </c>
      <c r="I15" t="s">
        <v>77</v>
      </c>
      <c r="J15" t="s">
        <v>15</v>
      </c>
    </row>
    <row r="16" spans="1:13" x14ac:dyDescent="0.25">
      <c r="A16" t="s">
        <v>220</v>
      </c>
      <c r="B16" t="str">
        <f t="shared" si="0"/>
        <v>January</v>
      </c>
      <c r="C16" t="s">
        <v>21</v>
      </c>
      <c r="D16" t="s">
        <v>11</v>
      </c>
      <c r="E16" t="s">
        <v>23</v>
      </c>
      <c r="F16" s="21">
        <v>147819</v>
      </c>
      <c r="G16" s="21">
        <v>144515</v>
      </c>
      <c r="H16" t="s">
        <v>24</v>
      </c>
      <c r="I16" t="s">
        <v>44</v>
      </c>
      <c r="J16" t="s">
        <v>15</v>
      </c>
    </row>
    <row r="17" spans="1:10" x14ac:dyDescent="0.25">
      <c r="A17" t="s">
        <v>220</v>
      </c>
      <c r="B17" t="str">
        <f t="shared" si="0"/>
        <v>January</v>
      </c>
      <c r="C17" t="s">
        <v>48</v>
      </c>
      <c r="D17" t="s">
        <v>11</v>
      </c>
      <c r="E17" t="s">
        <v>37</v>
      </c>
      <c r="F17" s="21">
        <v>109358</v>
      </c>
      <c r="G17" s="21">
        <v>115214</v>
      </c>
      <c r="H17" t="s">
        <v>35</v>
      </c>
      <c r="I17" t="s">
        <v>146</v>
      </c>
      <c r="J17" t="s">
        <v>15</v>
      </c>
    </row>
    <row r="18" spans="1:10" x14ac:dyDescent="0.25">
      <c r="A18" t="s">
        <v>39</v>
      </c>
      <c r="B18" t="str">
        <f t="shared" si="0"/>
        <v>January</v>
      </c>
      <c r="C18" t="s">
        <v>48</v>
      </c>
      <c r="D18" t="s">
        <v>221</v>
      </c>
      <c r="E18" t="s">
        <v>37</v>
      </c>
      <c r="F18" s="21">
        <v>70294</v>
      </c>
      <c r="G18" s="21">
        <v>73422</v>
      </c>
      <c r="H18" t="s">
        <v>35</v>
      </c>
      <c r="I18" t="s">
        <v>36</v>
      </c>
      <c r="J18" t="s">
        <v>15</v>
      </c>
    </row>
    <row r="19" spans="1:10" x14ac:dyDescent="0.25">
      <c r="A19" t="s">
        <v>222</v>
      </c>
      <c r="B19" t="str">
        <f t="shared" si="0"/>
        <v>February</v>
      </c>
      <c r="C19" t="s">
        <v>10</v>
      </c>
      <c r="D19" t="s">
        <v>28</v>
      </c>
      <c r="E19" t="s">
        <v>12</v>
      </c>
      <c r="F19" s="21">
        <v>56216</v>
      </c>
      <c r="G19" s="21">
        <v>55820</v>
      </c>
      <c r="H19" t="s">
        <v>18</v>
      </c>
      <c r="I19" t="s">
        <v>90</v>
      </c>
      <c r="J19" t="s">
        <v>20</v>
      </c>
    </row>
    <row r="20" spans="1:10" x14ac:dyDescent="0.25">
      <c r="A20" t="s">
        <v>222</v>
      </c>
      <c r="B20" t="str">
        <f t="shared" si="0"/>
        <v>February</v>
      </c>
      <c r="C20" t="s">
        <v>16</v>
      </c>
      <c r="D20" t="s">
        <v>28</v>
      </c>
      <c r="E20" t="s">
        <v>29</v>
      </c>
      <c r="F20" s="21">
        <v>48752</v>
      </c>
      <c r="G20" s="21">
        <v>49379</v>
      </c>
      <c r="H20" t="s">
        <v>18</v>
      </c>
      <c r="I20" t="s">
        <v>84</v>
      </c>
      <c r="J20" t="s">
        <v>20</v>
      </c>
    </row>
    <row r="21" spans="1:10" x14ac:dyDescent="0.25">
      <c r="A21" t="s">
        <v>222</v>
      </c>
      <c r="B21" t="str">
        <f t="shared" si="0"/>
        <v>February</v>
      </c>
      <c r="C21" t="s">
        <v>21</v>
      </c>
      <c r="D21" t="s">
        <v>28</v>
      </c>
      <c r="E21" t="s">
        <v>23</v>
      </c>
      <c r="F21" s="21">
        <v>51572</v>
      </c>
      <c r="G21" s="21">
        <v>51092</v>
      </c>
      <c r="H21" t="s">
        <v>18</v>
      </c>
      <c r="I21" t="s">
        <v>198</v>
      </c>
      <c r="J21" t="s">
        <v>20</v>
      </c>
    </row>
    <row r="22" spans="1:10" x14ac:dyDescent="0.25">
      <c r="A22" t="s">
        <v>222</v>
      </c>
      <c r="B22" t="str">
        <f t="shared" si="0"/>
        <v>February</v>
      </c>
      <c r="C22" t="s">
        <v>40</v>
      </c>
      <c r="D22" t="s">
        <v>28</v>
      </c>
      <c r="E22" t="s">
        <v>29</v>
      </c>
      <c r="F22" s="21">
        <v>59960</v>
      </c>
      <c r="G22" s="21">
        <v>61022</v>
      </c>
      <c r="H22" t="s">
        <v>18</v>
      </c>
      <c r="I22" t="s">
        <v>101</v>
      </c>
      <c r="J22" t="s">
        <v>20</v>
      </c>
    </row>
    <row r="23" spans="1:10" x14ac:dyDescent="0.25">
      <c r="A23" t="s">
        <v>222</v>
      </c>
      <c r="B23" t="str">
        <f t="shared" si="0"/>
        <v>February</v>
      </c>
      <c r="C23" t="s">
        <v>46</v>
      </c>
      <c r="D23" t="s">
        <v>28</v>
      </c>
      <c r="E23" t="s">
        <v>32</v>
      </c>
      <c r="F23" s="21">
        <v>48483</v>
      </c>
      <c r="G23" s="21">
        <v>48784</v>
      </c>
      <c r="H23" t="s">
        <v>18</v>
      </c>
      <c r="I23" t="s">
        <v>189</v>
      </c>
      <c r="J23" t="s">
        <v>20</v>
      </c>
    </row>
    <row r="24" spans="1:10" x14ac:dyDescent="0.25">
      <c r="A24" t="s">
        <v>222</v>
      </c>
      <c r="B24" t="str">
        <f t="shared" si="0"/>
        <v>February</v>
      </c>
      <c r="C24" t="s">
        <v>48</v>
      </c>
      <c r="D24" t="s">
        <v>28</v>
      </c>
      <c r="E24" t="s">
        <v>32</v>
      </c>
      <c r="F24" s="21">
        <v>59494</v>
      </c>
      <c r="G24" s="21">
        <v>60480</v>
      </c>
      <c r="H24" t="s">
        <v>18</v>
      </c>
      <c r="I24" t="s">
        <v>143</v>
      </c>
      <c r="J24" t="s">
        <v>20</v>
      </c>
    </row>
    <row r="25" spans="1:10" x14ac:dyDescent="0.25">
      <c r="A25" t="s">
        <v>57</v>
      </c>
      <c r="B25" t="str">
        <f t="shared" si="0"/>
        <v>February</v>
      </c>
      <c r="C25" t="s">
        <v>48</v>
      </c>
      <c r="D25" t="s">
        <v>31</v>
      </c>
      <c r="E25" t="s">
        <v>37</v>
      </c>
      <c r="F25" s="21">
        <v>23679</v>
      </c>
      <c r="G25" s="21">
        <v>22137</v>
      </c>
      <c r="H25" t="s">
        <v>24</v>
      </c>
      <c r="I25" t="s">
        <v>113</v>
      </c>
      <c r="J25" t="s">
        <v>20</v>
      </c>
    </row>
    <row r="26" spans="1:10" x14ac:dyDescent="0.25">
      <c r="A26" t="s">
        <v>57</v>
      </c>
      <c r="B26" t="str">
        <f t="shared" si="0"/>
        <v>February</v>
      </c>
      <c r="C26" t="s">
        <v>21</v>
      </c>
      <c r="D26" t="s">
        <v>22</v>
      </c>
      <c r="E26" t="s">
        <v>23</v>
      </c>
      <c r="F26" s="21">
        <v>44419</v>
      </c>
      <c r="G26" s="21">
        <v>46457</v>
      </c>
      <c r="H26" t="s">
        <v>35</v>
      </c>
      <c r="I26" t="s">
        <v>134</v>
      </c>
      <c r="J26" t="s">
        <v>20</v>
      </c>
    </row>
    <row r="27" spans="1:10" x14ac:dyDescent="0.25">
      <c r="A27" t="s">
        <v>57</v>
      </c>
      <c r="B27" t="str">
        <f t="shared" si="0"/>
        <v>February</v>
      </c>
      <c r="C27" t="s">
        <v>10</v>
      </c>
      <c r="D27" t="s">
        <v>22</v>
      </c>
      <c r="E27" t="s">
        <v>12</v>
      </c>
      <c r="F27" s="21">
        <v>31696</v>
      </c>
      <c r="G27" s="21">
        <v>32437</v>
      </c>
      <c r="H27" t="s">
        <v>35</v>
      </c>
      <c r="I27" t="s">
        <v>182</v>
      </c>
      <c r="J27" t="s">
        <v>20</v>
      </c>
    </row>
    <row r="28" spans="1:10" x14ac:dyDescent="0.25">
      <c r="A28" t="s">
        <v>57</v>
      </c>
      <c r="B28" t="str">
        <f t="shared" si="0"/>
        <v>February</v>
      </c>
      <c r="C28" t="s">
        <v>46</v>
      </c>
      <c r="D28" t="s">
        <v>34</v>
      </c>
      <c r="E28" t="s">
        <v>12</v>
      </c>
      <c r="F28" s="21">
        <v>40954</v>
      </c>
      <c r="G28" s="21">
        <v>43825</v>
      </c>
      <c r="H28" t="s">
        <v>13</v>
      </c>
      <c r="I28" t="s">
        <v>136</v>
      </c>
      <c r="J28" t="s">
        <v>20</v>
      </c>
    </row>
    <row r="29" spans="1:10" x14ac:dyDescent="0.25">
      <c r="A29" t="s">
        <v>60</v>
      </c>
      <c r="B29" t="str">
        <f t="shared" si="0"/>
        <v>February</v>
      </c>
      <c r="C29" t="s">
        <v>46</v>
      </c>
      <c r="D29" t="s">
        <v>17</v>
      </c>
      <c r="E29" t="s">
        <v>12</v>
      </c>
      <c r="F29" s="21">
        <v>12668</v>
      </c>
      <c r="G29" s="21">
        <v>13113</v>
      </c>
      <c r="H29" t="s">
        <v>18</v>
      </c>
      <c r="I29" t="s">
        <v>115</v>
      </c>
      <c r="J29" t="s">
        <v>20</v>
      </c>
    </row>
    <row r="30" spans="1:10" x14ac:dyDescent="0.25">
      <c r="A30" t="s">
        <v>60</v>
      </c>
      <c r="B30" t="str">
        <f t="shared" si="0"/>
        <v>February</v>
      </c>
      <c r="C30" t="s">
        <v>48</v>
      </c>
      <c r="D30" t="s">
        <v>63</v>
      </c>
      <c r="E30" t="s">
        <v>29</v>
      </c>
      <c r="F30" s="21">
        <v>13797</v>
      </c>
      <c r="G30" s="21">
        <v>15353</v>
      </c>
      <c r="H30" t="s">
        <v>18</v>
      </c>
      <c r="I30" t="s">
        <v>82</v>
      </c>
      <c r="J30" t="s">
        <v>20</v>
      </c>
    </row>
    <row r="31" spans="1:10" x14ac:dyDescent="0.25">
      <c r="A31" t="s">
        <v>223</v>
      </c>
      <c r="B31" t="str">
        <f t="shared" si="0"/>
        <v>February</v>
      </c>
      <c r="C31" t="s">
        <v>48</v>
      </c>
      <c r="D31" t="s">
        <v>11</v>
      </c>
      <c r="E31" t="s">
        <v>29</v>
      </c>
      <c r="F31" s="21">
        <v>156985</v>
      </c>
      <c r="G31" s="21">
        <v>153356</v>
      </c>
      <c r="H31" t="s">
        <v>35</v>
      </c>
      <c r="I31" t="s">
        <v>157</v>
      </c>
      <c r="J31" t="s">
        <v>15</v>
      </c>
    </row>
    <row r="32" spans="1:10" x14ac:dyDescent="0.25">
      <c r="A32" t="s">
        <v>223</v>
      </c>
      <c r="B32" t="str">
        <f t="shared" si="0"/>
        <v>February</v>
      </c>
      <c r="C32" t="s">
        <v>10</v>
      </c>
      <c r="D32" t="s">
        <v>11</v>
      </c>
      <c r="E32" t="s">
        <v>29</v>
      </c>
      <c r="F32" s="21">
        <v>166542</v>
      </c>
      <c r="G32" s="21">
        <v>184053</v>
      </c>
      <c r="H32" t="s">
        <v>35</v>
      </c>
      <c r="I32" t="s">
        <v>42</v>
      </c>
      <c r="J32" t="s">
        <v>15</v>
      </c>
    </row>
    <row r="33" spans="1:10" x14ac:dyDescent="0.25">
      <c r="A33" t="s">
        <v>223</v>
      </c>
      <c r="B33" t="str">
        <f t="shared" si="0"/>
        <v>February</v>
      </c>
      <c r="C33" t="s">
        <v>48</v>
      </c>
      <c r="D33" t="s">
        <v>11</v>
      </c>
      <c r="E33" t="s">
        <v>37</v>
      </c>
      <c r="F33" s="21">
        <v>120032</v>
      </c>
      <c r="G33" s="21">
        <v>121660</v>
      </c>
      <c r="H33" t="s">
        <v>18</v>
      </c>
      <c r="I33" t="s">
        <v>85</v>
      </c>
      <c r="J33" t="s">
        <v>15</v>
      </c>
    </row>
    <row r="34" spans="1:10" x14ac:dyDescent="0.25">
      <c r="A34" t="s">
        <v>224</v>
      </c>
      <c r="B34" t="str">
        <f t="shared" si="0"/>
        <v>February</v>
      </c>
      <c r="C34" t="s">
        <v>48</v>
      </c>
      <c r="D34" t="s">
        <v>221</v>
      </c>
      <c r="E34" t="s">
        <v>29</v>
      </c>
      <c r="F34" s="21">
        <v>72021</v>
      </c>
      <c r="G34" s="21">
        <v>70819</v>
      </c>
      <c r="H34" t="s">
        <v>24</v>
      </c>
      <c r="I34" t="s">
        <v>107</v>
      </c>
      <c r="J34" t="s">
        <v>15</v>
      </c>
    </row>
    <row r="35" spans="1:10" x14ac:dyDescent="0.25">
      <c r="A35" t="s">
        <v>224</v>
      </c>
      <c r="B35" t="str">
        <f t="shared" si="0"/>
        <v>February</v>
      </c>
      <c r="C35" t="s">
        <v>48</v>
      </c>
      <c r="D35" t="s">
        <v>221</v>
      </c>
      <c r="E35" t="s">
        <v>37</v>
      </c>
      <c r="F35" s="21">
        <v>55692</v>
      </c>
      <c r="G35" s="21">
        <v>55126</v>
      </c>
      <c r="H35" t="s">
        <v>18</v>
      </c>
      <c r="I35" t="s">
        <v>45</v>
      </c>
      <c r="J35" t="s">
        <v>15</v>
      </c>
    </row>
    <row r="36" spans="1:10" x14ac:dyDescent="0.25">
      <c r="A36" t="s">
        <v>225</v>
      </c>
      <c r="B36" t="str">
        <f t="shared" si="0"/>
        <v>March</v>
      </c>
      <c r="C36" t="s">
        <v>10</v>
      </c>
      <c r="D36" t="s">
        <v>28</v>
      </c>
      <c r="E36" t="s">
        <v>12</v>
      </c>
      <c r="F36" s="21">
        <v>46403</v>
      </c>
      <c r="G36" s="21">
        <v>46833</v>
      </c>
      <c r="H36" t="s">
        <v>18</v>
      </c>
      <c r="I36" t="s">
        <v>140</v>
      </c>
      <c r="J36" t="s">
        <v>20</v>
      </c>
    </row>
    <row r="37" spans="1:10" x14ac:dyDescent="0.25">
      <c r="A37" t="s">
        <v>225</v>
      </c>
      <c r="B37" t="str">
        <f t="shared" si="0"/>
        <v>March</v>
      </c>
      <c r="C37" t="s">
        <v>16</v>
      </c>
      <c r="D37" t="s">
        <v>28</v>
      </c>
      <c r="E37" t="s">
        <v>23</v>
      </c>
      <c r="F37" s="21">
        <v>57461</v>
      </c>
      <c r="G37" s="21">
        <v>57536</v>
      </c>
      <c r="H37" t="s">
        <v>18</v>
      </c>
      <c r="I37" t="s">
        <v>175</v>
      </c>
      <c r="J37" t="s">
        <v>20</v>
      </c>
    </row>
    <row r="38" spans="1:10" x14ac:dyDescent="0.25">
      <c r="A38" t="s">
        <v>225</v>
      </c>
      <c r="B38" t="str">
        <f t="shared" si="0"/>
        <v>March</v>
      </c>
      <c r="C38" t="s">
        <v>21</v>
      </c>
      <c r="D38" t="s">
        <v>28</v>
      </c>
      <c r="E38" t="s">
        <v>37</v>
      </c>
      <c r="F38" s="21">
        <v>47103</v>
      </c>
      <c r="G38" s="21">
        <v>47403</v>
      </c>
      <c r="H38" t="s">
        <v>18</v>
      </c>
      <c r="I38" t="s">
        <v>25</v>
      </c>
      <c r="J38" t="s">
        <v>20</v>
      </c>
    </row>
    <row r="39" spans="1:10" x14ac:dyDescent="0.25">
      <c r="A39" t="s">
        <v>225</v>
      </c>
      <c r="B39" t="str">
        <f t="shared" si="0"/>
        <v>March</v>
      </c>
      <c r="C39" t="s">
        <v>40</v>
      </c>
      <c r="D39" t="s">
        <v>28</v>
      </c>
      <c r="E39" t="s">
        <v>37</v>
      </c>
      <c r="F39" s="21">
        <v>47705</v>
      </c>
      <c r="G39" s="21">
        <v>47256</v>
      </c>
      <c r="H39" t="s">
        <v>18</v>
      </c>
      <c r="I39" t="s">
        <v>141</v>
      </c>
      <c r="J39" t="s">
        <v>20</v>
      </c>
    </row>
    <row r="40" spans="1:10" x14ac:dyDescent="0.25">
      <c r="A40" t="s">
        <v>225</v>
      </c>
      <c r="B40" t="str">
        <f t="shared" si="0"/>
        <v>March</v>
      </c>
      <c r="C40" t="s">
        <v>46</v>
      </c>
      <c r="D40" t="s">
        <v>28</v>
      </c>
      <c r="E40" t="s">
        <v>37</v>
      </c>
      <c r="F40" s="21">
        <v>51932</v>
      </c>
      <c r="G40" s="21">
        <v>52896</v>
      </c>
      <c r="H40" t="s">
        <v>18</v>
      </c>
      <c r="I40" t="s">
        <v>62</v>
      </c>
      <c r="J40" t="s">
        <v>20</v>
      </c>
    </row>
    <row r="41" spans="1:10" x14ac:dyDescent="0.25">
      <c r="A41" t="s">
        <v>225</v>
      </c>
      <c r="B41" t="str">
        <f t="shared" si="0"/>
        <v>March</v>
      </c>
      <c r="C41" t="s">
        <v>48</v>
      </c>
      <c r="D41" t="s">
        <v>28</v>
      </c>
      <c r="E41" t="s">
        <v>23</v>
      </c>
      <c r="F41" s="21">
        <v>57374</v>
      </c>
      <c r="G41" s="21">
        <v>57901</v>
      </c>
      <c r="H41" t="s">
        <v>18</v>
      </c>
      <c r="I41" t="s">
        <v>118</v>
      </c>
      <c r="J41" t="s">
        <v>20</v>
      </c>
    </row>
    <row r="42" spans="1:10" x14ac:dyDescent="0.25">
      <c r="A42" t="s">
        <v>226</v>
      </c>
      <c r="B42" t="str">
        <f t="shared" si="0"/>
        <v>March</v>
      </c>
      <c r="C42" t="s">
        <v>48</v>
      </c>
      <c r="D42" t="s">
        <v>31</v>
      </c>
      <c r="E42" t="s">
        <v>29</v>
      </c>
      <c r="F42" s="21">
        <v>28074</v>
      </c>
      <c r="G42" s="21">
        <v>32251</v>
      </c>
      <c r="H42" t="s">
        <v>13</v>
      </c>
      <c r="I42" t="s">
        <v>108</v>
      </c>
      <c r="J42" t="s">
        <v>20</v>
      </c>
    </row>
    <row r="43" spans="1:10" x14ac:dyDescent="0.25">
      <c r="A43" t="s">
        <v>226</v>
      </c>
      <c r="B43" t="str">
        <f t="shared" si="0"/>
        <v>March</v>
      </c>
      <c r="C43" t="s">
        <v>10</v>
      </c>
      <c r="D43" t="s">
        <v>31</v>
      </c>
      <c r="E43" t="s">
        <v>23</v>
      </c>
      <c r="F43" s="21">
        <v>44478</v>
      </c>
      <c r="G43" s="21">
        <v>45785</v>
      </c>
      <c r="H43" t="s">
        <v>35</v>
      </c>
      <c r="I43" t="s">
        <v>76</v>
      </c>
      <c r="J43" t="s">
        <v>20</v>
      </c>
    </row>
    <row r="44" spans="1:10" x14ac:dyDescent="0.25">
      <c r="A44" t="s">
        <v>226</v>
      </c>
      <c r="B44" t="str">
        <f t="shared" si="0"/>
        <v>March</v>
      </c>
      <c r="C44" t="s">
        <v>46</v>
      </c>
      <c r="D44" t="s">
        <v>22</v>
      </c>
      <c r="E44" t="s">
        <v>23</v>
      </c>
      <c r="F44" s="21">
        <v>26078</v>
      </c>
      <c r="G44" s="21">
        <v>23607</v>
      </c>
      <c r="H44" t="s">
        <v>35</v>
      </c>
      <c r="I44" t="s">
        <v>133</v>
      </c>
      <c r="J44" t="s">
        <v>20</v>
      </c>
    </row>
    <row r="45" spans="1:10" x14ac:dyDescent="0.25">
      <c r="A45" t="s">
        <v>226</v>
      </c>
      <c r="B45" t="str">
        <f t="shared" si="0"/>
        <v>March</v>
      </c>
      <c r="C45" t="s">
        <v>10</v>
      </c>
      <c r="D45" t="s">
        <v>34</v>
      </c>
      <c r="E45" t="s">
        <v>23</v>
      </c>
      <c r="F45" s="21">
        <v>17326</v>
      </c>
      <c r="G45" s="21">
        <v>18659</v>
      </c>
      <c r="H45" t="s">
        <v>18</v>
      </c>
      <c r="I45" t="s">
        <v>100</v>
      </c>
      <c r="J45" t="s">
        <v>20</v>
      </c>
    </row>
    <row r="46" spans="1:10" x14ac:dyDescent="0.25">
      <c r="A46" t="s">
        <v>227</v>
      </c>
      <c r="B46" t="str">
        <f t="shared" si="0"/>
        <v>March</v>
      </c>
      <c r="C46" t="s">
        <v>46</v>
      </c>
      <c r="D46" t="s">
        <v>17</v>
      </c>
      <c r="E46" t="s">
        <v>23</v>
      </c>
      <c r="F46" s="21">
        <v>19084</v>
      </c>
      <c r="G46" s="21">
        <v>18428</v>
      </c>
      <c r="H46" t="s">
        <v>24</v>
      </c>
      <c r="I46" t="s">
        <v>61</v>
      </c>
      <c r="J46" t="s">
        <v>20</v>
      </c>
    </row>
    <row r="47" spans="1:10" x14ac:dyDescent="0.25">
      <c r="A47" t="s">
        <v>227</v>
      </c>
      <c r="B47" t="str">
        <f t="shared" si="0"/>
        <v>March</v>
      </c>
      <c r="C47" t="s">
        <v>48</v>
      </c>
      <c r="D47" t="s">
        <v>63</v>
      </c>
      <c r="E47" t="s">
        <v>37</v>
      </c>
      <c r="F47" s="21">
        <v>8510</v>
      </c>
      <c r="G47" s="21">
        <v>8839</v>
      </c>
      <c r="H47" t="s">
        <v>13</v>
      </c>
      <c r="I47" t="s">
        <v>53</v>
      </c>
      <c r="J47" t="s">
        <v>20</v>
      </c>
    </row>
    <row r="48" spans="1:10" x14ac:dyDescent="0.25">
      <c r="A48" t="s">
        <v>228</v>
      </c>
      <c r="B48" t="str">
        <f t="shared" si="0"/>
        <v>March</v>
      </c>
      <c r="C48" t="s">
        <v>48</v>
      </c>
      <c r="D48" t="s">
        <v>11</v>
      </c>
      <c r="E48" t="s">
        <v>12</v>
      </c>
      <c r="F48" s="21">
        <v>161993</v>
      </c>
      <c r="G48" s="21">
        <v>176130</v>
      </c>
      <c r="H48" t="s">
        <v>18</v>
      </c>
      <c r="I48" t="s">
        <v>125</v>
      </c>
      <c r="J48" t="s">
        <v>15</v>
      </c>
    </row>
    <row r="49" spans="1:10" x14ac:dyDescent="0.25">
      <c r="A49" t="s">
        <v>228</v>
      </c>
      <c r="B49" t="str">
        <f t="shared" si="0"/>
        <v>March</v>
      </c>
      <c r="C49" t="s">
        <v>21</v>
      </c>
      <c r="D49" t="s">
        <v>11</v>
      </c>
      <c r="E49" t="s">
        <v>32</v>
      </c>
      <c r="F49" s="21">
        <v>156498</v>
      </c>
      <c r="G49" s="21">
        <v>158099</v>
      </c>
      <c r="H49" t="s">
        <v>18</v>
      </c>
      <c r="I49" t="s">
        <v>168</v>
      </c>
      <c r="J49" t="s">
        <v>15</v>
      </c>
    </row>
    <row r="50" spans="1:10" x14ac:dyDescent="0.25">
      <c r="A50" t="s">
        <v>229</v>
      </c>
      <c r="B50" t="str">
        <f t="shared" si="0"/>
        <v>March</v>
      </c>
      <c r="C50" t="s">
        <v>48</v>
      </c>
      <c r="D50" t="s">
        <v>221</v>
      </c>
      <c r="E50" t="s">
        <v>29</v>
      </c>
      <c r="F50" s="21">
        <v>43972</v>
      </c>
      <c r="G50" s="21">
        <v>46102</v>
      </c>
      <c r="H50" t="s">
        <v>18</v>
      </c>
      <c r="I50" t="s">
        <v>167</v>
      </c>
      <c r="J50" t="s">
        <v>15</v>
      </c>
    </row>
    <row r="51" spans="1:10" x14ac:dyDescent="0.25">
      <c r="A51" t="s">
        <v>230</v>
      </c>
      <c r="B51" t="str">
        <f t="shared" si="0"/>
        <v>April</v>
      </c>
      <c r="C51" t="s">
        <v>10</v>
      </c>
      <c r="D51" t="s">
        <v>28</v>
      </c>
      <c r="E51" t="s">
        <v>37</v>
      </c>
      <c r="F51" s="21">
        <v>49073</v>
      </c>
      <c r="G51" s="21">
        <v>48467</v>
      </c>
      <c r="H51" t="s">
        <v>18</v>
      </c>
      <c r="I51" t="s">
        <v>122</v>
      </c>
      <c r="J51" t="s">
        <v>20</v>
      </c>
    </row>
    <row r="52" spans="1:10" x14ac:dyDescent="0.25">
      <c r="A52" t="s">
        <v>230</v>
      </c>
      <c r="B52" t="str">
        <f t="shared" si="0"/>
        <v>April</v>
      </c>
      <c r="C52" t="s">
        <v>16</v>
      </c>
      <c r="D52" t="s">
        <v>28</v>
      </c>
      <c r="E52" t="s">
        <v>23</v>
      </c>
      <c r="F52" s="21">
        <v>52350</v>
      </c>
      <c r="G52" s="21">
        <v>51596</v>
      </c>
      <c r="H52" t="s">
        <v>18</v>
      </c>
      <c r="I52" t="s">
        <v>191</v>
      </c>
      <c r="J52" t="s">
        <v>20</v>
      </c>
    </row>
    <row r="53" spans="1:10" x14ac:dyDescent="0.25">
      <c r="A53" t="s">
        <v>230</v>
      </c>
      <c r="B53" t="str">
        <f t="shared" si="0"/>
        <v>April</v>
      </c>
      <c r="C53" t="s">
        <v>21</v>
      </c>
      <c r="D53" t="s">
        <v>28</v>
      </c>
      <c r="E53" t="s">
        <v>12</v>
      </c>
      <c r="F53" s="21">
        <v>49563</v>
      </c>
      <c r="G53" s="21">
        <v>49488</v>
      </c>
      <c r="H53" t="s">
        <v>18</v>
      </c>
      <c r="I53" t="s">
        <v>55</v>
      </c>
      <c r="J53" t="s">
        <v>20</v>
      </c>
    </row>
    <row r="54" spans="1:10" x14ac:dyDescent="0.25">
      <c r="A54" t="s">
        <v>230</v>
      </c>
      <c r="B54" t="str">
        <f t="shared" si="0"/>
        <v>April</v>
      </c>
      <c r="C54" t="s">
        <v>40</v>
      </c>
      <c r="D54" t="s">
        <v>28</v>
      </c>
      <c r="E54" t="s">
        <v>37</v>
      </c>
      <c r="F54" s="21">
        <v>52260</v>
      </c>
      <c r="G54" s="21">
        <v>52903</v>
      </c>
      <c r="H54" t="s">
        <v>18</v>
      </c>
      <c r="I54" t="s">
        <v>202</v>
      </c>
      <c r="J54" t="s">
        <v>20</v>
      </c>
    </row>
    <row r="55" spans="1:10" x14ac:dyDescent="0.25">
      <c r="A55" t="s">
        <v>230</v>
      </c>
      <c r="B55" t="str">
        <f t="shared" si="0"/>
        <v>April</v>
      </c>
      <c r="C55" t="s">
        <v>46</v>
      </c>
      <c r="D55" t="s">
        <v>28</v>
      </c>
      <c r="E55" t="s">
        <v>37</v>
      </c>
      <c r="F55" s="21">
        <v>46604</v>
      </c>
      <c r="G55" s="21">
        <v>45766</v>
      </c>
      <c r="H55" t="s">
        <v>18</v>
      </c>
      <c r="I55" t="s">
        <v>105</v>
      </c>
      <c r="J55" t="s">
        <v>20</v>
      </c>
    </row>
    <row r="56" spans="1:10" x14ac:dyDescent="0.25">
      <c r="A56" t="s">
        <v>230</v>
      </c>
      <c r="B56" t="str">
        <f t="shared" si="0"/>
        <v>April</v>
      </c>
      <c r="C56" t="s">
        <v>48</v>
      </c>
      <c r="D56" t="s">
        <v>28</v>
      </c>
      <c r="E56" t="s">
        <v>12</v>
      </c>
      <c r="F56" s="21">
        <v>58697</v>
      </c>
      <c r="G56" s="21">
        <v>57557</v>
      </c>
      <c r="H56" t="s">
        <v>18</v>
      </c>
      <c r="I56" t="s">
        <v>123</v>
      </c>
      <c r="J56" t="s">
        <v>20</v>
      </c>
    </row>
    <row r="57" spans="1:10" x14ac:dyDescent="0.25">
      <c r="A57" t="s">
        <v>231</v>
      </c>
      <c r="B57" t="str">
        <f t="shared" si="0"/>
        <v>April</v>
      </c>
      <c r="C57" t="s">
        <v>40</v>
      </c>
      <c r="D57" t="s">
        <v>31</v>
      </c>
      <c r="E57" t="s">
        <v>23</v>
      </c>
      <c r="F57" s="21">
        <v>20449</v>
      </c>
      <c r="G57" s="21">
        <v>20481</v>
      </c>
      <c r="H57" t="s">
        <v>13</v>
      </c>
      <c r="I57" t="s">
        <v>149</v>
      </c>
      <c r="J57" t="s">
        <v>20</v>
      </c>
    </row>
    <row r="58" spans="1:10" x14ac:dyDescent="0.25">
      <c r="A58" t="s">
        <v>231</v>
      </c>
      <c r="B58" t="str">
        <f t="shared" si="0"/>
        <v>April</v>
      </c>
      <c r="C58" t="s">
        <v>40</v>
      </c>
      <c r="D58" t="s">
        <v>22</v>
      </c>
      <c r="E58" t="s">
        <v>29</v>
      </c>
      <c r="F58" s="21">
        <v>20394</v>
      </c>
      <c r="G58" s="21">
        <v>20286</v>
      </c>
      <c r="H58" t="s">
        <v>13</v>
      </c>
      <c r="I58" t="s">
        <v>152</v>
      </c>
      <c r="J58" t="s">
        <v>20</v>
      </c>
    </row>
    <row r="59" spans="1:10" x14ac:dyDescent="0.25">
      <c r="A59" t="s">
        <v>231</v>
      </c>
      <c r="B59" t="str">
        <f t="shared" si="0"/>
        <v>April</v>
      </c>
      <c r="C59" t="s">
        <v>48</v>
      </c>
      <c r="D59" t="s">
        <v>34</v>
      </c>
      <c r="E59" t="s">
        <v>37</v>
      </c>
      <c r="F59" s="21">
        <v>28861</v>
      </c>
      <c r="G59" s="21">
        <v>31000</v>
      </c>
      <c r="H59" t="s">
        <v>13</v>
      </c>
      <c r="I59" t="s">
        <v>73</v>
      </c>
      <c r="J59" t="s">
        <v>20</v>
      </c>
    </row>
    <row r="60" spans="1:10" x14ac:dyDescent="0.25">
      <c r="A60" t="s">
        <v>231</v>
      </c>
      <c r="B60" t="str">
        <f t="shared" si="0"/>
        <v>April</v>
      </c>
      <c r="C60" t="s">
        <v>16</v>
      </c>
      <c r="D60" t="s">
        <v>34</v>
      </c>
      <c r="E60" t="s">
        <v>12</v>
      </c>
      <c r="F60" s="21">
        <v>20072</v>
      </c>
      <c r="G60" s="21">
        <v>19017</v>
      </c>
      <c r="H60" t="s">
        <v>18</v>
      </c>
      <c r="I60" t="s">
        <v>75</v>
      </c>
      <c r="J60" t="s">
        <v>20</v>
      </c>
    </row>
    <row r="61" spans="1:10" x14ac:dyDescent="0.25">
      <c r="A61" t="s">
        <v>232</v>
      </c>
      <c r="B61" t="str">
        <f t="shared" si="0"/>
        <v>April</v>
      </c>
      <c r="C61" t="s">
        <v>40</v>
      </c>
      <c r="D61" t="s">
        <v>17</v>
      </c>
      <c r="E61" t="s">
        <v>37</v>
      </c>
      <c r="F61" s="21">
        <v>5936</v>
      </c>
      <c r="G61" s="21">
        <v>5149</v>
      </c>
      <c r="H61" t="s">
        <v>35</v>
      </c>
      <c r="I61" t="s">
        <v>162</v>
      </c>
      <c r="J61" t="s">
        <v>20</v>
      </c>
    </row>
    <row r="62" spans="1:10" x14ac:dyDescent="0.25">
      <c r="A62" t="s">
        <v>80</v>
      </c>
      <c r="B62" t="str">
        <f t="shared" si="0"/>
        <v>April</v>
      </c>
      <c r="C62" t="s">
        <v>48</v>
      </c>
      <c r="D62" t="s">
        <v>11</v>
      </c>
      <c r="E62" t="s">
        <v>37</v>
      </c>
      <c r="F62" s="21">
        <v>110500</v>
      </c>
      <c r="G62" s="21">
        <v>120967</v>
      </c>
      <c r="H62" t="s">
        <v>18</v>
      </c>
      <c r="I62" t="s">
        <v>169</v>
      </c>
      <c r="J62" t="s">
        <v>15</v>
      </c>
    </row>
    <row r="63" spans="1:10" x14ac:dyDescent="0.25">
      <c r="A63" t="s">
        <v>80</v>
      </c>
      <c r="B63" t="str">
        <f t="shared" si="0"/>
        <v>April</v>
      </c>
      <c r="C63" t="s">
        <v>10</v>
      </c>
      <c r="D63" t="s">
        <v>11</v>
      </c>
      <c r="E63" t="s">
        <v>23</v>
      </c>
      <c r="F63" s="21">
        <v>130828</v>
      </c>
      <c r="G63" s="21">
        <v>133266</v>
      </c>
      <c r="H63" t="s">
        <v>18</v>
      </c>
      <c r="I63" t="s">
        <v>199</v>
      </c>
      <c r="J63" t="s">
        <v>15</v>
      </c>
    </row>
    <row r="64" spans="1:10" x14ac:dyDescent="0.25">
      <c r="A64" t="s">
        <v>80</v>
      </c>
      <c r="B64" t="str">
        <f t="shared" si="0"/>
        <v>April</v>
      </c>
      <c r="C64" t="s">
        <v>10</v>
      </c>
      <c r="D64" t="s">
        <v>11</v>
      </c>
      <c r="E64" t="s">
        <v>37</v>
      </c>
      <c r="F64" s="21">
        <v>110745</v>
      </c>
      <c r="G64" s="21">
        <v>113100</v>
      </c>
      <c r="H64" t="s">
        <v>24</v>
      </c>
      <c r="I64" t="s">
        <v>190</v>
      </c>
      <c r="J64" t="s">
        <v>15</v>
      </c>
    </row>
    <row r="65" spans="1:10" x14ac:dyDescent="0.25">
      <c r="A65" t="s">
        <v>80</v>
      </c>
      <c r="B65" t="str">
        <f t="shared" si="0"/>
        <v>April</v>
      </c>
      <c r="C65" t="s">
        <v>10</v>
      </c>
      <c r="D65" t="s">
        <v>11</v>
      </c>
      <c r="E65" t="s">
        <v>29</v>
      </c>
      <c r="F65" s="21">
        <v>134179</v>
      </c>
      <c r="G65" s="21">
        <v>132129</v>
      </c>
      <c r="H65" t="s">
        <v>35</v>
      </c>
      <c r="I65" t="s">
        <v>102</v>
      </c>
      <c r="J65" t="s">
        <v>15</v>
      </c>
    </row>
    <row r="66" spans="1:10" x14ac:dyDescent="0.25">
      <c r="A66" t="s">
        <v>83</v>
      </c>
      <c r="B66" t="str">
        <f t="shared" si="0"/>
        <v>April</v>
      </c>
      <c r="C66" t="s">
        <v>48</v>
      </c>
      <c r="D66" t="s">
        <v>221</v>
      </c>
      <c r="E66" t="s">
        <v>29</v>
      </c>
      <c r="F66" s="21">
        <v>65938</v>
      </c>
      <c r="G66" s="21">
        <v>66086</v>
      </c>
      <c r="H66" t="s">
        <v>13</v>
      </c>
      <c r="I66" t="s">
        <v>197</v>
      </c>
      <c r="J66" t="s">
        <v>15</v>
      </c>
    </row>
    <row r="67" spans="1:10" x14ac:dyDescent="0.25">
      <c r="A67" t="s">
        <v>83</v>
      </c>
      <c r="B67" t="str">
        <f t="shared" ref="B67:B130" si="1">TEXT(A67,"mmmm")</f>
        <v>April</v>
      </c>
      <c r="C67" t="s">
        <v>48</v>
      </c>
      <c r="D67" t="s">
        <v>221</v>
      </c>
      <c r="E67" t="s">
        <v>12</v>
      </c>
      <c r="F67" s="21">
        <v>60720</v>
      </c>
      <c r="G67" s="21">
        <v>69095</v>
      </c>
      <c r="H67" t="s">
        <v>18</v>
      </c>
      <c r="I67" t="s">
        <v>66</v>
      </c>
      <c r="J67" t="s">
        <v>15</v>
      </c>
    </row>
    <row r="68" spans="1:10" x14ac:dyDescent="0.25">
      <c r="A68" t="s">
        <v>233</v>
      </c>
      <c r="B68" t="str">
        <f t="shared" si="1"/>
        <v>May</v>
      </c>
      <c r="C68" t="s">
        <v>10</v>
      </c>
      <c r="D68" t="s">
        <v>28</v>
      </c>
      <c r="E68" t="s">
        <v>37</v>
      </c>
      <c r="F68" s="21">
        <v>52508</v>
      </c>
      <c r="G68" s="21">
        <v>52762</v>
      </c>
      <c r="H68" t="s">
        <v>18</v>
      </c>
      <c r="I68" t="s">
        <v>128</v>
      </c>
      <c r="J68" t="s">
        <v>20</v>
      </c>
    </row>
    <row r="69" spans="1:10" x14ac:dyDescent="0.25">
      <c r="A69" t="s">
        <v>233</v>
      </c>
      <c r="B69" t="str">
        <f t="shared" si="1"/>
        <v>May</v>
      </c>
      <c r="C69" t="s">
        <v>16</v>
      </c>
      <c r="D69" t="s">
        <v>28</v>
      </c>
      <c r="E69" t="s">
        <v>23</v>
      </c>
      <c r="F69" s="21">
        <v>46638</v>
      </c>
      <c r="G69" s="21">
        <v>45841</v>
      </c>
      <c r="H69" t="s">
        <v>18</v>
      </c>
      <c r="I69" t="s">
        <v>52</v>
      </c>
      <c r="J69" t="s">
        <v>20</v>
      </c>
    </row>
    <row r="70" spans="1:10" x14ac:dyDescent="0.25">
      <c r="A70" t="s">
        <v>233</v>
      </c>
      <c r="B70" t="str">
        <f t="shared" si="1"/>
        <v>May</v>
      </c>
      <c r="C70" t="s">
        <v>21</v>
      </c>
      <c r="D70" t="s">
        <v>28</v>
      </c>
      <c r="E70" t="s">
        <v>29</v>
      </c>
      <c r="F70" s="21">
        <v>53288</v>
      </c>
      <c r="G70" s="21">
        <v>52787</v>
      </c>
      <c r="H70" t="s">
        <v>18</v>
      </c>
      <c r="I70" t="s">
        <v>111</v>
      </c>
      <c r="J70" t="s">
        <v>20</v>
      </c>
    </row>
    <row r="71" spans="1:10" x14ac:dyDescent="0.25">
      <c r="A71" t="s">
        <v>233</v>
      </c>
      <c r="B71" t="str">
        <f t="shared" si="1"/>
        <v>May</v>
      </c>
      <c r="C71" t="s">
        <v>40</v>
      </c>
      <c r="D71" t="s">
        <v>28</v>
      </c>
      <c r="E71" t="s">
        <v>23</v>
      </c>
      <c r="F71" s="21">
        <v>59432</v>
      </c>
      <c r="G71" s="21">
        <v>58406</v>
      </c>
      <c r="H71" t="s">
        <v>18</v>
      </c>
      <c r="I71" t="s">
        <v>30</v>
      </c>
      <c r="J71" t="s">
        <v>20</v>
      </c>
    </row>
    <row r="72" spans="1:10" x14ac:dyDescent="0.25">
      <c r="A72" t="s">
        <v>233</v>
      </c>
      <c r="B72" t="str">
        <f t="shared" si="1"/>
        <v>May</v>
      </c>
      <c r="C72" t="s">
        <v>46</v>
      </c>
      <c r="D72" t="s">
        <v>28</v>
      </c>
      <c r="E72" t="s">
        <v>32</v>
      </c>
      <c r="F72" s="21">
        <v>51054</v>
      </c>
      <c r="G72" s="21">
        <v>50614</v>
      </c>
      <c r="H72" t="s">
        <v>18</v>
      </c>
      <c r="I72" t="s">
        <v>91</v>
      </c>
      <c r="J72" t="s">
        <v>20</v>
      </c>
    </row>
    <row r="73" spans="1:10" x14ac:dyDescent="0.25">
      <c r="A73" t="s">
        <v>233</v>
      </c>
      <c r="B73" t="str">
        <f t="shared" si="1"/>
        <v>May</v>
      </c>
      <c r="C73" t="s">
        <v>48</v>
      </c>
      <c r="D73" t="s">
        <v>28</v>
      </c>
      <c r="E73" t="s">
        <v>29</v>
      </c>
      <c r="F73" s="21">
        <v>58660</v>
      </c>
      <c r="G73" s="21">
        <v>58761</v>
      </c>
      <c r="H73" t="s">
        <v>18</v>
      </c>
      <c r="I73" t="s">
        <v>188</v>
      </c>
      <c r="J73" t="s">
        <v>20</v>
      </c>
    </row>
    <row r="74" spans="1:10" x14ac:dyDescent="0.25">
      <c r="A74" t="s">
        <v>234</v>
      </c>
      <c r="B74" t="str">
        <f t="shared" si="1"/>
        <v>May</v>
      </c>
      <c r="C74" t="s">
        <v>21</v>
      </c>
      <c r="D74" t="s">
        <v>31</v>
      </c>
      <c r="E74" t="s">
        <v>12</v>
      </c>
      <c r="F74" s="21">
        <v>36884</v>
      </c>
      <c r="G74" s="21">
        <v>40730</v>
      </c>
      <c r="H74" t="s">
        <v>35</v>
      </c>
      <c r="I74" t="s">
        <v>33</v>
      </c>
      <c r="J74" t="s">
        <v>20</v>
      </c>
    </row>
    <row r="75" spans="1:10" x14ac:dyDescent="0.25">
      <c r="A75" t="s">
        <v>234</v>
      </c>
      <c r="B75" t="str">
        <f t="shared" si="1"/>
        <v>May</v>
      </c>
      <c r="C75" t="s">
        <v>48</v>
      </c>
      <c r="D75" t="s">
        <v>22</v>
      </c>
      <c r="E75" t="s">
        <v>37</v>
      </c>
      <c r="F75" s="21">
        <v>18782</v>
      </c>
      <c r="G75" s="21">
        <v>21081</v>
      </c>
      <c r="H75" t="s">
        <v>35</v>
      </c>
      <c r="I75" t="s">
        <v>68</v>
      </c>
      <c r="J75" t="s">
        <v>20</v>
      </c>
    </row>
    <row r="76" spans="1:10" x14ac:dyDescent="0.25">
      <c r="A76" t="s">
        <v>234</v>
      </c>
      <c r="B76" t="str">
        <f t="shared" si="1"/>
        <v>May</v>
      </c>
      <c r="C76" t="s">
        <v>16</v>
      </c>
      <c r="D76" t="s">
        <v>22</v>
      </c>
      <c r="E76" t="s">
        <v>29</v>
      </c>
      <c r="F76" s="21">
        <v>23924</v>
      </c>
      <c r="G76" s="21">
        <v>23216</v>
      </c>
      <c r="H76" t="s">
        <v>35</v>
      </c>
      <c r="I76" t="s">
        <v>103</v>
      </c>
      <c r="J76" t="s">
        <v>20</v>
      </c>
    </row>
    <row r="77" spans="1:10" x14ac:dyDescent="0.25">
      <c r="A77" t="s">
        <v>234</v>
      </c>
      <c r="B77" t="str">
        <f t="shared" si="1"/>
        <v>May</v>
      </c>
      <c r="C77" t="s">
        <v>10</v>
      </c>
      <c r="D77" t="s">
        <v>34</v>
      </c>
      <c r="E77" t="s">
        <v>12</v>
      </c>
      <c r="F77" s="21">
        <v>31561</v>
      </c>
      <c r="G77" s="21">
        <v>32259</v>
      </c>
      <c r="H77" t="s">
        <v>13</v>
      </c>
      <c r="I77" t="s">
        <v>160</v>
      </c>
      <c r="J77" t="s">
        <v>20</v>
      </c>
    </row>
    <row r="78" spans="1:10" x14ac:dyDescent="0.25">
      <c r="A78" t="s">
        <v>234</v>
      </c>
      <c r="B78" t="str">
        <f t="shared" si="1"/>
        <v>May</v>
      </c>
      <c r="C78" t="s">
        <v>10</v>
      </c>
      <c r="D78" t="s">
        <v>34</v>
      </c>
      <c r="E78" t="s">
        <v>29</v>
      </c>
      <c r="F78" s="21">
        <v>42176</v>
      </c>
      <c r="G78" s="21">
        <v>40875</v>
      </c>
      <c r="H78" t="s">
        <v>35</v>
      </c>
      <c r="I78" t="s">
        <v>200</v>
      </c>
      <c r="J78" t="s">
        <v>20</v>
      </c>
    </row>
    <row r="79" spans="1:10" x14ac:dyDescent="0.25">
      <c r="A79" t="s">
        <v>94</v>
      </c>
      <c r="B79" t="str">
        <f t="shared" si="1"/>
        <v>May</v>
      </c>
      <c r="C79" t="s">
        <v>40</v>
      </c>
      <c r="D79" t="s">
        <v>17</v>
      </c>
      <c r="E79" t="s">
        <v>37</v>
      </c>
      <c r="F79" s="21">
        <v>9291</v>
      </c>
      <c r="G79" s="21">
        <v>8422</v>
      </c>
      <c r="H79" t="s">
        <v>13</v>
      </c>
      <c r="I79" t="s">
        <v>135</v>
      </c>
      <c r="J79" t="s">
        <v>20</v>
      </c>
    </row>
    <row r="80" spans="1:10" x14ac:dyDescent="0.25">
      <c r="A80" t="s">
        <v>94</v>
      </c>
      <c r="B80" t="str">
        <f t="shared" si="1"/>
        <v>May</v>
      </c>
      <c r="C80" t="s">
        <v>48</v>
      </c>
      <c r="D80" t="s">
        <v>63</v>
      </c>
      <c r="E80" t="s">
        <v>23</v>
      </c>
      <c r="F80" s="21">
        <v>6832</v>
      </c>
      <c r="G80" s="21">
        <v>5987</v>
      </c>
      <c r="H80" t="s">
        <v>18</v>
      </c>
      <c r="I80" t="s">
        <v>47</v>
      </c>
      <c r="J80" t="s">
        <v>20</v>
      </c>
    </row>
    <row r="81" spans="1:10" x14ac:dyDescent="0.25">
      <c r="A81" t="s">
        <v>235</v>
      </c>
      <c r="B81" t="str">
        <f t="shared" si="1"/>
        <v>May</v>
      </c>
      <c r="C81" t="s">
        <v>21</v>
      </c>
      <c r="D81" t="s">
        <v>11</v>
      </c>
      <c r="E81" t="s">
        <v>23</v>
      </c>
      <c r="F81" s="21">
        <v>176350</v>
      </c>
      <c r="G81" s="21">
        <v>184096</v>
      </c>
      <c r="H81" t="s">
        <v>18</v>
      </c>
      <c r="I81" t="s">
        <v>65</v>
      </c>
      <c r="J81" t="s">
        <v>15</v>
      </c>
    </row>
    <row r="82" spans="1:10" x14ac:dyDescent="0.25">
      <c r="A82" t="s">
        <v>235</v>
      </c>
      <c r="B82" t="str">
        <f t="shared" si="1"/>
        <v>May</v>
      </c>
      <c r="C82" t="s">
        <v>48</v>
      </c>
      <c r="D82" t="s">
        <v>11</v>
      </c>
      <c r="E82" t="s">
        <v>29</v>
      </c>
      <c r="F82" s="21">
        <v>140404</v>
      </c>
      <c r="G82" s="21">
        <v>142087</v>
      </c>
      <c r="H82" t="s">
        <v>35</v>
      </c>
      <c r="I82" t="s">
        <v>165</v>
      </c>
      <c r="J82" t="s">
        <v>15</v>
      </c>
    </row>
    <row r="83" spans="1:10" x14ac:dyDescent="0.25">
      <c r="A83" t="s">
        <v>235</v>
      </c>
      <c r="B83" t="str">
        <f t="shared" si="1"/>
        <v>May</v>
      </c>
      <c r="C83" t="s">
        <v>21</v>
      </c>
      <c r="D83" t="s">
        <v>11</v>
      </c>
      <c r="E83" t="s">
        <v>37</v>
      </c>
      <c r="F83" s="21">
        <v>132706</v>
      </c>
      <c r="G83" s="21">
        <v>141116</v>
      </c>
      <c r="H83" t="s">
        <v>13</v>
      </c>
      <c r="I83" t="s">
        <v>26</v>
      </c>
      <c r="J83" t="s">
        <v>15</v>
      </c>
    </row>
    <row r="84" spans="1:10" x14ac:dyDescent="0.25">
      <c r="A84" t="s">
        <v>236</v>
      </c>
      <c r="B84" t="str">
        <f t="shared" si="1"/>
        <v>May</v>
      </c>
      <c r="C84" t="s">
        <v>48</v>
      </c>
      <c r="D84" t="s">
        <v>221</v>
      </c>
      <c r="E84" t="s">
        <v>23</v>
      </c>
      <c r="F84" s="21">
        <v>55514</v>
      </c>
      <c r="G84" s="21">
        <v>62563</v>
      </c>
      <c r="H84" t="s">
        <v>13</v>
      </c>
      <c r="I84" t="s">
        <v>138</v>
      </c>
      <c r="J84" t="s">
        <v>15</v>
      </c>
    </row>
    <row r="85" spans="1:10" x14ac:dyDescent="0.25">
      <c r="A85" t="s">
        <v>109</v>
      </c>
      <c r="B85" t="str">
        <f t="shared" si="1"/>
        <v>June</v>
      </c>
      <c r="C85" t="s">
        <v>10</v>
      </c>
      <c r="D85" t="s">
        <v>28</v>
      </c>
      <c r="E85" t="s">
        <v>29</v>
      </c>
      <c r="F85" s="21">
        <v>45406</v>
      </c>
      <c r="G85" s="21">
        <v>44823</v>
      </c>
      <c r="H85" t="s">
        <v>18</v>
      </c>
      <c r="I85" t="s">
        <v>164</v>
      </c>
      <c r="J85" t="s">
        <v>20</v>
      </c>
    </row>
    <row r="86" spans="1:10" x14ac:dyDescent="0.25">
      <c r="A86" t="s">
        <v>109</v>
      </c>
      <c r="B86" t="str">
        <f t="shared" si="1"/>
        <v>June</v>
      </c>
      <c r="C86" t="s">
        <v>16</v>
      </c>
      <c r="D86" t="s">
        <v>28</v>
      </c>
      <c r="E86" t="s">
        <v>23</v>
      </c>
      <c r="F86" s="21">
        <v>57818</v>
      </c>
      <c r="G86" s="21">
        <v>58814</v>
      </c>
      <c r="H86" t="s">
        <v>18</v>
      </c>
      <c r="I86" t="s">
        <v>58</v>
      </c>
      <c r="J86" t="s">
        <v>20</v>
      </c>
    </row>
    <row r="87" spans="1:10" x14ac:dyDescent="0.25">
      <c r="A87" t="s">
        <v>109</v>
      </c>
      <c r="B87" t="str">
        <f t="shared" si="1"/>
        <v>June</v>
      </c>
      <c r="C87" t="s">
        <v>21</v>
      </c>
      <c r="D87" t="s">
        <v>28</v>
      </c>
      <c r="E87" t="s">
        <v>12</v>
      </c>
      <c r="F87" s="21">
        <v>49371</v>
      </c>
      <c r="G87" s="21">
        <v>48697</v>
      </c>
      <c r="H87" t="s">
        <v>18</v>
      </c>
      <c r="I87" t="s">
        <v>183</v>
      </c>
      <c r="J87" t="s">
        <v>20</v>
      </c>
    </row>
    <row r="88" spans="1:10" x14ac:dyDescent="0.25">
      <c r="A88" t="s">
        <v>109</v>
      </c>
      <c r="B88" t="str">
        <f t="shared" si="1"/>
        <v>June</v>
      </c>
      <c r="C88" t="s">
        <v>40</v>
      </c>
      <c r="D88" t="s">
        <v>28</v>
      </c>
      <c r="E88" t="s">
        <v>32</v>
      </c>
      <c r="F88" s="21">
        <v>51267</v>
      </c>
      <c r="G88" s="21">
        <v>52030</v>
      </c>
      <c r="H88" t="s">
        <v>18</v>
      </c>
      <c r="I88" t="s">
        <v>95</v>
      </c>
      <c r="J88" t="s">
        <v>20</v>
      </c>
    </row>
    <row r="89" spans="1:10" x14ac:dyDescent="0.25">
      <c r="A89" t="s">
        <v>109</v>
      </c>
      <c r="B89" t="str">
        <f t="shared" si="1"/>
        <v>June</v>
      </c>
      <c r="C89" t="s">
        <v>46</v>
      </c>
      <c r="D89" t="s">
        <v>28</v>
      </c>
      <c r="E89" t="s">
        <v>32</v>
      </c>
      <c r="F89" s="21">
        <v>48644</v>
      </c>
      <c r="G89" s="21">
        <v>48059</v>
      </c>
      <c r="H89" t="s">
        <v>18</v>
      </c>
      <c r="I89" t="s">
        <v>121</v>
      </c>
      <c r="J89" t="s">
        <v>20</v>
      </c>
    </row>
    <row r="90" spans="1:10" x14ac:dyDescent="0.25">
      <c r="A90" t="s">
        <v>109</v>
      </c>
      <c r="B90" t="str">
        <f t="shared" si="1"/>
        <v>June</v>
      </c>
      <c r="C90" t="s">
        <v>48</v>
      </c>
      <c r="D90" t="s">
        <v>28</v>
      </c>
      <c r="E90" t="s">
        <v>23</v>
      </c>
      <c r="F90" s="21">
        <v>50728</v>
      </c>
      <c r="G90" s="21">
        <v>50332</v>
      </c>
      <c r="H90" t="s">
        <v>18</v>
      </c>
      <c r="I90" t="s">
        <v>64</v>
      </c>
      <c r="J90" t="s">
        <v>20</v>
      </c>
    </row>
    <row r="91" spans="1:10" x14ac:dyDescent="0.25">
      <c r="A91" t="s">
        <v>237</v>
      </c>
      <c r="B91" t="str">
        <f t="shared" si="1"/>
        <v>June</v>
      </c>
      <c r="C91" t="s">
        <v>40</v>
      </c>
      <c r="D91" t="s">
        <v>31</v>
      </c>
      <c r="E91" t="s">
        <v>29</v>
      </c>
      <c r="F91" s="21">
        <v>15775</v>
      </c>
      <c r="G91" s="21">
        <v>16800</v>
      </c>
      <c r="H91" t="s">
        <v>24</v>
      </c>
      <c r="I91" t="s">
        <v>119</v>
      </c>
      <c r="J91" t="s">
        <v>20</v>
      </c>
    </row>
    <row r="92" spans="1:10" x14ac:dyDescent="0.25">
      <c r="A92" t="s">
        <v>237</v>
      </c>
      <c r="B92" t="str">
        <f t="shared" si="1"/>
        <v>June</v>
      </c>
      <c r="C92" t="s">
        <v>48</v>
      </c>
      <c r="D92" t="s">
        <v>22</v>
      </c>
      <c r="E92" t="s">
        <v>37</v>
      </c>
      <c r="F92" s="21">
        <v>40340</v>
      </c>
      <c r="G92" s="21">
        <v>39120</v>
      </c>
      <c r="H92" t="s">
        <v>13</v>
      </c>
      <c r="I92" t="s">
        <v>184</v>
      </c>
      <c r="J92" t="s">
        <v>20</v>
      </c>
    </row>
    <row r="93" spans="1:10" x14ac:dyDescent="0.25">
      <c r="A93" t="s">
        <v>237</v>
      </c>
      <c r="B93" t="str">
        <f t="shared" si="1"/>
        <v>June</v>
      </c>
      <c r="C93" t="s">
        <v>21</v>
      </c>
      <c r="D93" t="s">
        <v>34</v>
      </c>
      <c r="E93" t="s">
        <v>23</v>
      </c>
      <c r="F93" s="21">
        <v>15904</v>
      </c>
      <c r="G93" s="21">
        <v>14772</v>
      </c>
      <c r="H93" t="s">
        <v>24</v>
      </c>
      <c r="I93" t="s">
        <v>192</v>
      </c>
      <c r="J93" t="s">
        <v>20</v>
      </c>
    </row>
    <row r="94" spans="1:10" x14ac:dyDescent="0.25">
      <c r="A94" t="s">
        <v>237</v>
      </c>
      <c r="B94" t="str">
        <f t="shared" si="1"/>
        <v>June</v>
      </c>
      <c r="C94" t="s">
        <v>40</v>
      </c>
      <c r="D94" t="s">
        <v>34</v>
      </c>
      <c r="E94" t="s">
        <v>29</v>
      </c>
      <c r="F94" s="21">
        <v>16253</v>
      </c>
      <c r="G94" s="21">
        <v>15068</v>
      </c>
      <c r="H94" t="s">
        <v>24</v>
      </c>
      <c r="I94" t="s">
        <v>96</v>
      </c>
      <c r="J94" t="s">
        <v>20</v>
      </c>
    </row>
    <row r="95" spans="1:10" x14ac:dyDescent="0.25">
      <c r="A95" t="s">
        <v>238</v>
      </c>
      <c r="B95" t="str">
        <f t="shared" si="1"/>
        <v>June</v>
      </c>
      <c r="C95" t="s">
        <v>46</v>
      </c>
      <c r="D95" t="s">
        <v>17</v>
      </c>
      <c r="E95" t="s">
        <v>23</v>
      </c>
      <c r="F95" s="21">
        <v>13379</v>
      </c>
      <c r="G95" s="21">
        <v>11913</v>
      </c>
      <c r="H95" t="s">
        <v>24</v>
      </c>
      <c r="I95" t="s">
        <v>59</v>
      </c>
      <c r="J95" t="s">
        <v>20</v>
      </c>
    </row>
    <row r="96" spans="1:10" x14ac:dyDescent="0.25">
      <c r="A96" t="s">
        <v>239</v>
      </c>
      <c r="B96" t="str">
        <f t="shared" si="1"/>
        <v>June</v>
      </c>
      <c r="C96" t="s">
        <v>10</v>
      </c>
      <c r="D96" t="s">
        <v>11</v>
      </c>
      <c r="E96" t="s">
        <v>23</v>
      </c>
      <c r="F96" s="21">
        <v>100221</v>
      </c>
      <c r="G96" s="21">
        <v>104068</v>
      </c>
      <c r="H96" t="s">
        <v>24</v>
      </c>
      <c r="I96" t="s">
        <v>70</v>
      </c>
      <c r="J96" t="s">
        <v>15</v>
      </c>
    </row>
    <row r="97" spans="1:10" x14ac:dyDescent="0.25">
      <c r="A97" t="s">
        <v>239</v>
      </c>
      <c r="B97" t="str">
        <f t="shared" si="1"/>
        <v>June</v>
      </c>
      <c r="C97" t="s">
        <v>10</v>
      </c>
      <c r="D97" t="s">
        <v>11</v>
      </c>
      <c r="E97" t="s">
        <v>29</v>
      </c>
      <c r="F97" s="21">
        <v>156531</v>
      </c>
      <c r="G97" s="21">
        <v>150566</v>
      </c>
      <c r="H97" t="s">
        <v>24</v>
      </c>
      <c r="I97" t="s">
        <v>79</v>
      </c>
      <c r="J97" t="s">
        <v>15</v>
      </c>
    </row>
    <row r="98" spans="1:10" x14ac:dyDescent="0.25">
      <c r="A98" t="s">
        <v>239</v>
      </c>
      <c r="B98" t="str">
        <f t="shared" si="1"/>
        <v>June</v>
      </c>
      <c r="C98" t="s">
        <v>21</v>
      </c>
      <c r="D98" t="s">
        <v>11</v>
      </c>
      <c r="E98" t="s">
        <v>37</v>
      </c>
      <c r="F98" s="21">
        <v>116334</v>
      </c>
      <c r="G98" s="21">
        <v>124751</v>
      </c>
      <c r="H98" t="s">
        <v>24</v>
      </c>
      <c r="I98" t="s">
        <v>180</v>
      </c>
      <c r="J98" t="s">
        <v>15</v>
      </c>
    </row>
    <row r="99" spans="1:10" x14ac:dyDescent="0.25">
      <c r="A99" t="s">
        <v>240</v>
      </c>
      <c r="B99" t="str">
        <f t="shared" si="1"/>
        <v>June</v>
      </c>
      <c r="C99" t="s">
        <v>48</v>
      </c>
      <c r="D99" t="s">
        <v>221</v>
      </c>
      <c r="E99" t="s">
        <v>29</v>
      </c>
      <c r="F99" s="21">
        <v>61376</v>
      </c>
      <c r="G99" s="21">
        <v>64347</v>
      </c>
      <c r="H99" t="s">
        <v>35</v>
      </c>
      <c r="I99" t="s">
        <v>201</v>
      </c>
      <c r="J99" t="s">
        <v>15</v>
      </c>
    </row>
    <row r="100" spans="1:10" x14ac:dyDescent="0.25">
      <c r="A100" t="s">
        <v>240</v>
      </c>
      <c r="B100" t="str">
        <f t="shared" si="1"/>
        <v>June</v>
      </c>
      <c r="C100" t="s">
        <v>48</v>
      </c>
      <c r="D100" t="s">
        <v>221</v>
      </c>
      <c r="E100" t="s">
        <v>32</v>
      </c>
      <c r="F100" s="21">
        <v>52572</v>
      </c>
      <c r="G100" s="21">
        <v>55278</v>
      </c>
      <c r="H100" t="s">
        <v>35</v>
      </c>
      <c r="I100" t="s">
        <v>139</v>
      </c>
      <c r="J100" t="s">
        <v>15</v>
      </c>
    </row>
    <row r="101" spans="1:10" x14ac:dyDescent="0.25">
      <c r="A101" t="s">
        <v>124</v>
      </c>
      <c r="B101" t="str">
        <f t="shared" si="1"/>
        <v>July</v>
      </c>
      <c r="C101" t="s">
        <v>10</v>
      </c>
      <c r="D101" t="s">
        <v>28</v>
      </c>
      <c r="E101" t="s">
        <v>32</v>
      </c>
      <c r="F101" s="21">
        <v>55084</v>
      </c>
      <c r="G101" s="21">
        <v>55236</v>
      </c>
      <c r="H101" t="s">
        <v>18</v>
      </c>
      <c r="I101" t="s">
        <v>144</v>
      </c>
      <c r="J101" t="s">
        <v>20</v>
      </c>
    </row>
    <row r="102" spans="1:10" x14ac:dyDescent="0.25">
      <c r="A102" t="s">
        <v>124</v>
      </c>
      <c r="B102" t="str">
        <f t="shared" si="1"/>
        <v>July</v>
      </c>
      <c r="C102" t="s">
        <v>16</v>
      </c>
      <c r="D102" t="s">
        <v>28</v>
      </c>
      <c r="E102" t="s">
        <v>29</v>
      </c>
      <c r="F102" s="21">
        <v>53977</v>
      </c>
      <c r="G102" s="21">
        <v>54697</v>
      </c>
      <c r="H102" t="s">
        <v>18</v>
      </c>
      <c r="I102" t="s">
        <v>155</v>
      </c>
      <c r="J102" t="s">
        <v>20</v>
      </c>
    </row>
    <row r="103" spans="1:10" x14ac:dyDescent="0.25">
      <c r="A103" t="s">
        <v>124</v>
      </c>
      <c r="B103" t="str">
        <f t="shared" si="1"/>
        <v>July</v>
      </c>
      <c r="C103" t="s">
        <v>21</v>
      </c>
      <c r="D103" t="s">
        <v>28</v>
      </c>
      <c r="E103" t="s">
        <v>37</v>
      </c>
      <c r="F103" s="21">
        <v>49700</v>
      </c>
      <c r="G103" s="21">
        <v>49123</v>
      </c>
      <c r="H103" t="s">
        <v>18</v>
      </c>
      <c r="I103" t="s">
        <v>171</v>
      </c>
      <c r="J103" t="s">
        <v>20</v>
      </c>
    </row>
    <row r="104" spans="1:10" x14ac:dyDescent="0.25">
      <c r="A104" t="s">
        <v>124</v>
      </c>
      <c r="B104" t="str">
        <f t="shared" si="1"/>
        <v>July</v>
      </c>
      <c r="C104" t="s">
        <v>40</v>
      </c>
      <c r="D104" t="s">
        <v>28</v>
      </c>
      <c r="E104" t="s">
        <v>32</v>
      </c>
      <c r="F104" s="21">
        <v>54939</v>
      </c>
      <c r="G104" s="21">
        <v>55278</v>
      </c>
      <c r="H104" t="s">
        <v>18</v>
      </c>
      <c r="I104" t="s">
        <v>97</v>
      </c>
      <c r="J104" t="s">
        <v>20</v>
      </c>
    </row>
    <row r="105" spans="1:10" x14ac:dyDescent="0.25">
      <c r="A105" t="s">
        <v>124</v>
      </c>
      <c r="B105" t="str">
        <f t="shared" si="1"/>
        <v>July</v>
      </c>
      <c r="C105" t="s">
        <v>46</v>
      </c>
      <c r="D105" t="s">
        <v>28</v>
      </c>
      <c r="E105" t="s">
        <v>23</v>
      </c>
      <c r="F105" s="21">
        <v>52238</v>
      </c>
      <c r="G105" s="21">
        <v>52117</v>
      </c>
      <c r="H105" t="s">
        <v>18</v>
      </c>
      <c r="I105" t="s">
        <v>54</v>
      </c>
      <c r="J105" t="s">
        <v>20</v>
      </c>
    </row>
    <row r="106" spans="1:10" x14ac:dyDescent="0.25">
      <c r="A106" t="s">
        <v>124</v>
      </c>
      <c r="B106" t="str">
        <f t="shared" si="1"/>
        <v>July</v>
      </c>
      <c r="C106" t="s">
        <v>48</v>
      </c>
      <c r="D106" t="s">
        <v>28</v>
      </c>
      <c r="E106" t="s">
        <v>23</v>
      </c>
      <c r="F106" s="21">
        <v>53375</v>
      </c>
      <c r="G106" s="21">
        <v>53317</v>
      </c>
      <c r="H106" t="s">
        <v>18</v>
      </c>
      <c r="I106" t="s">
        <v>51</v>
      </c>
      <c r="J106" t="s">
        <v>20</v>
      </c>
    </row>
    <row r="107" spans="1:10" x14ac:dyDescent="0.25">
      <c r="A107" t="s">
        <v>241</v>
      </c>
      <c r="B107" t="str">
        <f t="shared" si="1"/>
        <v>July</v>
      </c>
      <c r="C107" t="s">
        <v>48</v>
      </c>
      <c r="D107" t="s">
        <v>31</v>
      </c>
      <c r="E107" t="s">
        <v>37</v>
      </c>
      <c r="F107" s="21">
        <v>24299</v>
      </c>
      <c r="G107" s="21">
        <v>25000</v>
      </c>
      <c r="H107" t="s">
        <v>24</v>
      </c>
      <c r="I107" t="s">
        <v>98</v>
      </c>
      <c r="J107" t="s">
        <v>20</v>
      </c>
    </row>
    <row r="108" spans="1:10" x14ac:dyDescent="0.25">
      <c r="A108" t="s">
        <v>241</v>
      </c>
      <c r="B108" t="str">
        <f t="shared" si="1"/>
        <v>July</v>
      </c>
      <c r="C108" t="s">
        <v>16</v>
      </c>
      <c r="D108" t="s">
        <v>22</v>
      </c>
      <c r="E108" t="s">
        <v>29</v>
      </c>
      <c r="F108" s="21">
        <v>41818</v>
      </c>
      <c r="G108" s="21">
        <v>47588</v>
      </c>
      <c r="H108" t="s">
        <v>35</v>
      </c>
      <c r="I108" t="s">
        <v>67</v>
      </c>
      <c r="J108" t="s">
        <v>20</v>
      </c>
    </row>
    <row r="109" spans="1:10" x14ac:dyDescent="0.25">
      <c r="A109" t="s">
        <v>241</v>
      </c>
      <c r="B109" t="str">
        <f t="shared" si="1"/>
        <v>July</v>
      </c>
      <c r="C109" t="s">
        <v>16</v>
      </c>
      <c r="D109" t="s">
        <v>34</v>
      </c>
      <c r="E109" t="s">
        <v>32</v>
      </c>
      <c r="F109" s="21">
        <v>19828</v>
      </c>
      <c r="G109" s="21">
        <v>17966</v>
      </c>
      <c r="H109" t="s">
        <v>18</v>
      </c>
      <c r="I109" t="s">
        <v>49</v>
      </c>
      <c r="J109" t="s">
        <v>20</v>
      </c>
    </row>
    <row r="110" spans="1:10" x14ac:dyDescent="0.25">
      <c r="A110" t="s">
        <v>242</v>
      </c>
      <c r="B110" t="str">
        <f t="shared" si="1"/>
        <v>July</v>
      </c>
      <c r="C110" t="s">
        <v>16</v>
      </c>
      <c r="D110" t="s">
        <v>17</v>
      </c>
      <c r="E110" t="s">
        <v>32</v>
      </c>
      <c r="F110" s="21">
        <v>19518</v>
      </c>
      <c r="G110" s="21">
        <v>20892</v>
      </c>
      <c r="H110" t="s">
        <v>13</v>
      </c>
      <c r="I110" t="s">
        <v>126</v>
      </c>
      <c r="J110" t="s">
        <v>20</v>
      </c>
    </row>
    <row r="111" spans="1:10" x14ac:dyDescent="0.25">
      <c r="A111" t="s">
        <v>242</v>
      </c>
      <c r="B111" t="str">
        <f t="shared" si="1"/>
        <v>July</v>
      </c>
      <c r="C111" t="s">
        <v>10</v>
      </c>
      <c r="D111" t="s">
        <v>63</v>
      </c>
      <c r="E111" t="s">
        <v>12</v>
      </c>
      <c r="F111" s="21">
        <v>7417</v>
      </c>
      <c r="G111" s="21">
        <v>8007</v>
      </c>
      <c r="H111" t="s">
        <v>13</v>
      </c>
      <c r="I111" t="s">
        <v>172</v>
      </c>
      <c r="J111" t="s">
        <v>20</v>
      </c>
    </row>
    <row r="112" spans="1:10" x14ac:dyDescent="0.25">
      <c r="A112" t="s">
        <v>243</v>
      </c>
      <c r="B112" t="str">
        <f t="shared" si="1"/>
        <v>July</v>
      </c>
      <c r="C112" t="s">
        <v>10</v>
      </c>
      <c r="D112" t="s">
        <v>11</v>
      </c>
      <c r="E112" t="s">
        <v>37</v>
      </c>
      <c r="F112" s="21">
        <v>123053</v>
      </c>
      <c r="G112" s="21">
        <v>133721</v>
      </c>
      <c r="H112" t="s">
        <v>13</v>
      </c>
      <c r="I112" t="s">
        <v>106</v>
      </c>
      <c r="J112" t="s">
        <v>15</v>
      </c>
    </row>
    <row r="113" spans="1:10" x14ac:dyDescent="0.25">
      <c r="A113" t="s">
        <v>243</v>
      </c>
      <c r="B113" t="str">
        <f t="shared" si="1"/>
        <v>July</v>
      </c>
      <c r="C113" t="s">
        <v>48</v>
      </c>
      <c r="D113" t="s">
        <v>11</v>
      </c>
      <c r="E113" t="s">
        <v>32</v>
      </c>
      <c r="F113" s="21">
        <v>106582</v>
      </c>
      <c r="G113" s="21">
        <v>111352</v>
      </c>
      <c r="H113" t="s">
        <v>35</v>
      </c>
      <c r="I113" t="s">
        <v>93</v>
      </c>
      <c r="J113" t="s">
        <v>15</v>
      </c>
    </row>
    <row r="114" spans="1:10" x14ac:dyDescent="0.25">
      <c r="A114" t="s">
        <v>120</v>
      </c>
      <c r="B114" t="str">
        <f t="shared" si="1"/>
        <v>July</v>
      </c>
      <c r="C114" t="s">
        <v>48</v>
      </c>
      <c r="D114" t="s">
        <v>221</v>
      </c>
      <c r="E114" t="s">
        <v>37</v>
      </c>
      <c r="F114" s="21">
        <v>74808</v>
      </c>
      <c r="G114" s="21">
        <v>85875</v>
      </c>
      <c r="H114" t="s">
        <v>24</v>
      </c>
      <c r="I114" t="s">
        <v>19</v>
      </c>
      <c r="J114" t="s">
        <v>15</v>
      </c>
    </row>
    <row r="115" spans="1:10" x14ac:dyDescent="0.25">
      <c r="A115" t="s">
        <v>120</v>
      </c>
      <c r="B115" t="str">
        <f t="shared" si="1"/>
        <v>July</v>
      </c>
      <c r="C115" t="s">
        <v>48</v>
      </c>
      <c r="D115" t="s">
        <v>221</v>
      </c>
      <c r="E115" t="s">
        <v>37</v>
      </c>
      <c r="F115" s="21">
        <v>69004</v>
      </c>
      <c r="G115" s="21">
        <v>74810</v>
      </c>
      <c r="H115" t="s">
        <v>13</v>
      </c>
      <c r="I115" t="s">
        <v>117</v>
      </c>
      <c r="J115" t="s">
        <v>15</v>
      </c>
    </row>
    <row r="116" spans="1:10" x14ac:dyDescent="0.25">
      <c r="A116" t="s">
        <v>244</v>
      </c>
      <c r="B116" t="str">
        <f t="shared" si="1"/>
        <v>August</v>
      </c>
      <c r="C116" t="s">
        <v>10</v>
      </c>
      <c r="D116" t="s">
        <v>28</v>
      </c>
      <c r="E116" t="s">
        <v>32</v>
      </c>
      <c r="F116" s="21">
        <v>58608</v>
      </c>
      <c r="G116" s="21">
        <v>59561</v>
      </c>
      <c r="H116" t="s">
        <v>18</v>
      </c>
      <c r="I116" t="s">
        <v>166</v>
      </c>
      <c r="J116" t="s">
        <v>20</v>
      </c>
    </row>
    <row r="117" spans="1:10" x14ac:dyDescent="0.25">
      <c r="A117" t="s">
        <v>244</v>
      </c>
      <c r="B117" t="str">
        <f t="shared" si="1"/>
        <v>August</v>
      </c>
      <c r="C117" t="s">
        <v>16</v>
      </c>
      <c r="D117" t="s">
        <v>28</v>
      </c>
      <c r="E117" t="s">
        <v>32</v>
      </c>
      <c r="F117" s="21">
        <v>59699</v>
      </c>
      <c r="G117" s="21">
        <v>58885</v>
      </c>
      <c r="H117" t="s">
        <v>18</v>
      </c>
      <c r="I117" t="s">
        <v>78</v>
      </c>
      <c r="J117" t="s">
        <v>20</v>
      </c>
    </row>
    <row r="118" spans="1:10" x14ac:dyDescent="0.25">
      <c r="A118" t="s">
        <v>244</v>
      </c>
      <c r="B118" t="str">
        <f t="shared" si="1"/>
        <v>August</v>
      </c>
      <c r="C118" t="s">
        <v>21</v>
      </c>
      <c r="D118" t="s">
        <v>28</v>
      </c>
      <c r="E118" t="s">
        <v>23</v>
      </c>
      <c r="F118" s="21">
        <v>52373</v>
      </c>
      <c r="G118" s="21">
        <v>51868</v>
      </c>
      <c r="H118" t="s">
        <v>18</v>
      </c>
      <c r="I118" t="s">
        <v>87</v>
      </c>
      <c r="J118" t="s">
        <v>20</v>
      </c>
    </row>
    <row r="119" spans="1:10" x14ac:dyDescent="0.25">
      <c r="A119" t="s">
        <v>244</v>
      </c>
      <c r="B119" t="str">
        <f t="shared" si="1"/>
        <v>August</v>
      </c>
      <c r="C119" t="s">
        <v>40</v>
      </c>
      <c r="D119" t="s">
        <v>28</v>
      </c>
      <c r="E119" t="s">
        <v>37</v>
      </c>
      <c r="F119" s="21">
        <v>58760</v>
      </c>
      <c r="G119" s="21">
        <v>59083</v>
      </c>
      <c r="H119" t="s">
        <v>18</v>
      </c>
      <c r="I119" t="s">
        <v>137</v>
      </c>
      <c r="J119" t="s">
        <v>20</v>
      </c>
    </row>
    <row r="120" spans="1:10" x14ac:dyDescent="0.25">
      <c r="A120" t="s">
        <v>244</v>
      </c>
      <c r="B120" t="str">
        <f t="shared" si="1"/>
        <v>August</v>
      </c>
      <c r="C120" t="s">
        <v>46</v>
      </c>
      <c r="D120" t="s">
        <v>28</v>
      </c>
      <c r="E120" t="s">
        <v>29</v>
      </c>
      <c r="F120" s="21">
        <v>52939</v>
      </c>
      <c r="G120" s="21">
        <v>53207</v>
      </c>
      <c r="H120" t="s">
        <v>18</v>
      </c>
      <c r="I120" t="s">
        <v>38</v>
      </c>
      <c r="J120" t="s">
        <v>20</v>
      </c>
    </row>
    <row r="121" spans="1:10" x14ac:dyDescent="0.25">
      <c r="A121" t="s">
        <v>244</v>
      </c>
      <c r="B121" t="str">
        <f t="shared" si="1"/>
        <v>August</v>
      </c>
      <c r="C121" t="s">
        <v>48</v>
      </c>
      <c r="D121" t="s">
        <v>28</v>
      </c>
      <c r="E121" t="s">
        <v>29</v>
      </c>
      <c r="F121" s="21">
        <v>52206</v>
      </c>
      <c r="G121" s="21">
        <v>51323</v>
      </c>
      <c r="H121" t="s">
        <v>18</v>
      </c>
      <c r="I121" t="s">
        <v>110</v>
      </c>
      <c r="J121" t="s">
        <v>20</v>
      </c>
    </row>
    <row r="122" spans="1:10" x14ac:dyDescent="0.25">
      <c r="A122" t="s">
        <v>130</v>
      </c>
      <c r="B122" t="str">
        <f t="shared" si="1"/>
        <v>August</v>
      </c>
      <c r="C122" t="s">
        <v>46</v>
      </c>
      <c r="D122" t="s">
        <v>31</v>
      </c>
      <c r="E122" t="s">
        <v>12</v>
      </c>
      <c r="F122" s="21">
        <v>23903</v>
      </c>
      <c r="G122" s="21">
        <v>23519</v>
      </c>
      <c r="H122" t="s">
        <v>35</v>
      </c>
      <c r="I122" t="s">
        <v>185</v>
      </c>
      <c r="J122" t="s">
        <v>20</v>
      </c>
    </row>
    <row r="123" spans="1:10" x14ac:dyDescent="0.25">
      <c r="A123" t="s">
        <v>130</v>
      </c>
      <c r="B123" t="str">
        <f t="shared" si="1"/>
        <v>August</v>
      </c>
      <c r="C123" t="s">
        <v>16</v>
      </c>
      <c r="D123" t="s">
        <v>22</v>
      </c>
      <c r="E123" t="s">
        <v>23</v>
      </c>
      <c r="F123" s="21">
        <v>22577</v>
      </c>
      <c r="G123" s="21">
        <v>22481</v>
      </c>
      <c r="H123" t="s">
        <v>18</v>
      </c>
      <c r="I123" t="s">
        <v>104</v>
      </c>
      <c r="J123" t="s">
        <v>20</v>
      </c>
    </row>
    <row r="124" spans="1:10" x14ac:dyDescent="0.25">
      <c r="A124" t="s">
        <v>130</v>
      </c>
      <c r="B124" t="str">
        <f t="shared" si="1"/>
        <v>August</v>
      </c>
      <c r="C124" t="s">
        <v>40</v>
      </c>
      <c r="D124" t="s">
        <v>34</v>
      </c>
      <c r="E124" t="s">
        <v>32</v>
      </c>
      <c r="F124" s="21">
        <v>28356</v>
      </c>
      <c r="G124" s="21">
        <v>27866</v>
      </c>
      <c r="H124" t="s">
        <v>18</v>
      </c>
      <c r="I124" t="s">
        <v>127</v>
      </c>
      <c r="J124" t="s">
        <v>20</v>
      </c>
    </row>
    <row r="125" spans="1:10" x14ac:dyDescent="0.25">
      <c r="A125" t="s">
        <v>130</v>
      </c>
      <c r="B125" t="str">
        <f t="shared" si="1"/>
        <v>August</v>
      </c>
      <c r="C125" t="s">
        <v>40</v>
      </c>
      <c r="D125" t="s">
        <v>34</v>
      </c>
      <c r="E125" t="s">
        <v>37</v>
      </c>
      <c r="F125" s="21">
        <v>21777</v>
      </c>
      <c r="G125" s="21">
        <v>24133</v>
      </c>
      <c r="H125" t="s">
        <v>18</v>
      </c>
      <c r="I125" t="s">
        <v>176</v>
      </c>
      <c r="J125" t="s">
        <v>20</v>
      </c>
    </row>
    <row r="126" spans="1:10" x14ac:dyDescent="0.25">
      <c r="A126" t="s">
        <v>245</v>
      </c>
      <c r="B126" t="str">
        <f t="shared" si="1"/>
        <v>August</v>
      </c>
      <c r="C126" t="s">
        <v>40</v>
      </c>
      <c r="D126" t="s">
        <v>17</v>
      </c>
      <c r="E126" t="s">
        <v>12</v>
      </c>
      <c r="F126" s="21">
        <v>17543</v>
      </c>
      <c r="G126" s="21">
        <v>18446</v>
      </c>
      <c r="H126" t="s">
        <v>24</v>
      </c>
      <c r="I126" t="s">
        <v>114</v>
      </c>
      <c r="J126" t="s">
        <v>20</v>
      </c>
    </row>
    <row r="127" spans="1:10" x14ac:dyDescent="0.25">
      <c r="A127" t="s">
        <v>246</v>
      </c>
      <c r="B127" t="str">
        <f t="shared" si="1"/>
        <v>August</v>
      </c>
      <c r="C127" t="s">
        <v>10</v>
      </c>
      <c r="D127" t="s">
        <v>11</v>
      </c>
      <c r="E127" t="s">
        <v>37</v>
      </c>
      <c r="F127" s="21">
        <v>154921</v>
      </c>
      <c r="G127" s="21">
        <v>161349</v>
      </c>
      <c r="H127" t="s">
        <v>35</v>
      </c>
      <c r="I127" t="s">
        <v>159</v>
      </c>
      <c r="J127" t="s">
        <v>15</v>
      </c>
    </row>
    <row r="128" spans="1:10" x14ac:dyDescent="0.25">
      <c r="A128" t="s">
        <v>246</v>
      </c>
      <c r="B128" t="str">
        <f t="shared" si="1"/>
        <v>August</v>
      </c>
      <c r="C128" t="s">
        <v>21</v>
      </c>
      <c r="D128" t="s">
        <v>11</v>
      </c>
      <c r="E128" t="s">
        <v>32</v>
      </c>
      <c r="F128" s="21">
        <v>163993</v>
      </c>
      <c r="G128" s="21">
        <v>161910</v>
      </c>
      <c r="H128" t="s">
        <v>18</v>
      </c>
      <c r="I128" t="s">
        <v>156</v>
      </c>
      <c r="J128" t="s">
        <v>15</v>
      </c>
    </row>
    <row r="129" spans="1:10" x14ac:dyDescent="0.25">
      <c r="A129" t="s">
        <v>246</v>
      </c>
      <c r="B129" t="str">
        <f t="shared" si="1"/>
        <v>August</v>
      </c>
      <c r="C129" t="s">
        <v>10</v>
      </c>
      <c r="D129" t="s">
        <v>11</v>
      </c>
      <c r="E129" t="s">
        <v>32</v>
      </c>
      <c r="F129" s="21">
        <v>150968</v>
      </c>
      <c r="G129" s="21">
        <v>152046</v>
      </c>
      <c r="H129" t="s">
        <v>35</v>
      </c>
      <c r="I129" t="s">
        <v>69</v>
      </c>
      <c r="J129" t="s">
        <v>15</v>
      </c>
    </row>
    <row r="130" spans="1:10" x14ac:dyDescent="0.25">
      <c r="A130" t="s">
        <v>247</v>
      </c>
      <c r="B130" t="str">
        <f t="shared" si="1"/>
        <v>August</v>
      </c>
      <c r="C130" t="s">
        <v>48</v>
      </c>
      <c r="D130" t="s">
        <v>221</v>
      </c>
      <c r="E130" t="s">
        <v>37</v>
      </c>
      <c r="F130" s="21">
        <v>48364</v>
      </c>
      <c r="G130" s="21">
        <v>55460</v>
      </c>
      <c r="H130" t="s">
        <v>18</v>
      </c>
      <c r="I130" t="s">
        <v>181</v>
      </c>
      <c r="J130" t="s">
        <v>15</v>
      </c>
    </row>
    <row r="131" spans="1:10" x14ac:dyDescent="0.25">
      <c r="A131" t="s">
        <v>247</v>
      </c>
      <c r="B131" t="str">
        <f t="shared" ref="B131:B194" si="2">TEXT(A131,"mmmm")</f>
        <v>August</v>
      </c>
      <c r="C131" t="s">
        <v>48</v>
      </c>
      <c r="D131" t="s">
        <v>221</v>
      </c>
      <c r="E131" t="s">
        <v>12</v>
      </c>
      <c r="F131" s="21">
        <v>65822</v>
      </c>
      <c r="G131" s="21">
        <v>71128</v>
      </c>
      <c r="H131" t="s">
        <v>18</v>
      </c>
      <c r="I131" t="s">
        <v>112</v>
      </c>
      <c r="J131" t="s">
        <v>15</v>
      </c>
    </row>
    <row r="132" spans="1:10" x14ac:dyDescent="0.25">
      <c r="A132" t="s">
        <v>150</v>
      </c>
      <c r="B132" t="str">
        <f t="shared" si="2"/>
        <v>September</v>
      </c>
      <c r="C132" t="s">
        <v>10</v>
      </c>
      <c r="D132" t="s">
        <v>28</v>
      </c>
      <c r="E132" t="s">
        <v>32</v>
      </c>
      <c r="F132" s="21">
        <v>55530</v>
      </c>
      <c r="G132" s="21">
        <v>55371</v>
      </c>
      <c r="H132" t="s">
        <v>18</v>
      </c>
      <c r="I132" t="s">
        <v>151</v>
      </c>
      <c r="J132" t="s">
        <v>20</v>
      </c>
    </row>
    <row r="133" spans="1:10" x14ac:dyDescent="0.25">
      <c r="A133" t="s">
        <v>150</v>
      </c>
      <c r="B133" t="str">
        <f t="shared" si="2"/>
        <v>September</v>
      </c>
      <c r="C133" t="s">
        <v>16</v>
      </c>
      <c r="D133" t="s">
        <v>28</v>
      </c>
      <c r="E133" t="s">
        <v>32</v>
      </c>
      <c r="F133" s="21">
        <v>47977</v>
      </c>
      <c r="G133" s="21">
        <v>47113</v>
      </c>
      <c r="H133" t="s">
        <v>18</v>
      </c>
      <c r="I133" t="s">
        <v>148</v>
      </c>
      <c r="J133" t="s">
        <v>20</v>
      </c>
    </row>
    <row r="134" spans="1:10" x14ac:dyDescent="0.25">
      <c r="A134" t="s">
        <v>150</v>
      </c>
      <c r="B134" t="str">
        <f t="shared" si="2"/>
        <v>September</v>
      </c>
      <c r="C134" t="s">
        <v>21</v>
      </c>
      <c r="D134" t="s">
        <v>28</v>
      </c>
      <c r="E134" t="s">
        <v>29</v>
      </c>
      <c r="F134" s="21">
        <v>50363</v>
      </c>
      <c r="G134" s="21">
        <v>49782</v>
      </c>
      <c r="H134" t="s">
        <v>18</v>
      </c>
      <c r="I134" t="s">
        <v>142</v>
      </c>
      <c r="J134" t="s">
        <v>20</v>
      </c>
    </row>
    <row r="135" spans="1:10" x14ac:dyDescent="0.25">
      <c r="A135" t="s">
        <v>150</v>
      </c>
      <c r="B135" t="str">
        <f t="shared" si="2"/>
        <v>September</v>
      </c>
      <c r="C135" t="s">
        <v>40</v>
      </c>
      <c r="D135" t="s">
        <v>28</v>
      </c>
      <c r="E135" t="s">
        <v>32</v>
      </c>
      <c r="F135" s="21">
        <v>50529</v>
      </c>
      <c r="G135" s="21">
        <v>51056</v>
      </c>
      <c r="H135" t="s">
        <v>18</v>
      </c>
      <c r="I135" t="s">
        <v>195</v>
      </c>
      <c r="J135" t="s">
        <v>20</v>
      </c>
    </row>
    <row r="136" spans="1:10" x14ac:dyDescent="0.25">
      <c r="A136" t="s">
        <v>150</v>
      </c>
      <c r="B136" t="str">
        <f t="shared" si="2"/>
        <v>September</v>
      </c>
      <c r="C136" t="s">
        <v>46</v>
      </c>
      <c r="D136" t="s">
        <v>28</v>
      </c>
      <c r="E136" t="s">
        <v>32</v>
      </c>
      <c r="F136" s="21">
        <v>49558</v>
      </c>
      <c r="G136" s="21">
        <v>50057</v>
      </c>
      <c r="H136" t="s">
        <v>18</v>
      </c>
      <c r="I136" t="s">
        <v>161</v>
      </c>
      <c r="J136" t="s">
        <v>20</v>
      </c>
    </row>
    <row r="137" spans="1:10" x14ac:dyDescent="0.25">
      <c r="A137" t="s">
        <v>150</v>
      </c>
      <c r="B137" t="str">
        <f t="shared" si="2"/>
        <v>September</v>
      </c>
      <c r="C137" t="s">
        <v>48</v>
      </c>
      <c r="D137" t="s">
        <v>28</v>
      </c>
      <c r="E137" t="s">
        <v>32</v>
      </c>
      <c r="F137" s="21">
        <v>49133</v>
      </c>
      <c r="G137" s="21">
        <v>49791</v>
      </c>
      <c r="H137" t="s">
        <v>18</v>
      </c>
      <c r="I137" t="s">
        <v>177</v>
      </c>
      <c r="J137" t="s">
        <v>20</v>
      </c>
    </row>
    <row r="138" spans="1:10" x14ac:dyDescent="0.25">
      <c r="A138" t="s">
        <v>145</v>
      </c>
      <c r="B138" t="str">
        <f t="shared" si="2"/>
        <v>September</v>
      </c>
      <c r="C138" t="s">
        <v>21</v>
      </c>
      <c r="D138" t="s">
        <v>31</v>
      </c>
      <c r="E138" t="s">
        <v>23</v>
      </c>
      <c r="F138" s="21">
        <v>39544</v>
      </c>
      <c r="G138" s="21">
        <v>40922</v>
      </c>
      <c r="H138" t="s">
        <v>18</v>
      </c>
      <c r="I138" t="s">
        <v>179</v>
      </c>
      <c r="J138" t="s">
        <v>20</v>
      </c>
    </row>
    <row r="139" spans="1:10" x14ac:dyDescent="0.25">
      <c r="A139" t="s">
        <v>145</v>
      </c>
      <c r="B139" t="str">
        <f t="shared" si="2"/>
        <v>September</v>
      </c>
      <c r="C139" t="s">
        <v>16</v>
      </c>
      <c r="D139" t="s">
        <v>22</v>
      </c>
      <c r="E139" t="s">
        <v>23</v>
      </c>
      <c r="F139" s="21">
        <v>39714</v>
      </c>
      <c r="G139" s="21">
        <v>36050</v>
      </c>
      <c r="H139" t="s">
        <v>18</v>
      </c>
      <c r="I139" t="s">
        <v>170</v>
      </c>
      <c r="J139" t="s">
        <v>20</v>
      </c>
    </row>
    <row r="140" spans="1:10" x14ac:dyDescent="0.25">
      <c r="A140" t="s">
        <v>145</v>
      </c>
      <c r="B140" t="str">
        <f t="shared" si="2"/>
        <v>September</v>
      </c>
      <c r="C140" t="s">
        <v>48</v>
      </c>
      <c r="D140" t="s">
        <v>34</v>
      </c>
      <c r="E140" t="s">
        <v>12</v>
      </c>
      <c r="F140" s="21">
        <v>22816</v>
      </c>
      <c r="G140" s="21">
        <v>21254</v>
      </c>
      <c r="H140" t="s">
        <v>35</v>
      </c>
      <c r="I140" t="s">
        <v>72</v>
      </c>
      <c r="J140" t="s">
        <v>20</v>
      </c>
    </row>
    <row r="141" spans="1:10" x14ac:dyDescent="0.25">
      <c r="A141" t="s">
        <v>248</v>
      </c>
      <c r="B141" t="str">
        <f t="shared" si="2"/>
        <v>September</v>
      </c>
      <c r="C141" t="s">
        <v>16</v>
      </c>
      <c r="D141" t="s">
        <v>17</v>
      </c>
      <c r="E141" t="s">
        <v>37</v>
      </c>
      <c r="F141" s="21">
        <v>9198</v>
      </c>
      <c r="G141" s="21">
        <v>10287</v>
      </c>
      <c r="H141" t="s">
        <v>18</v>
      </c>
      <c r="I141" t="s">
        <v>116</v>
      </c>
      <c r="J141" t="s">
        <v>20</v>
      </c>
    </row>
    <row r="142" spans="1:10" x14ac:dyDescent="0.25">
      <c r="A142" t="s">
        <v>248</v>
      </c>
      <c r="B142" t="str">
        <f t="shared" si="2"/>
        <v>September</v>
      </c>
      <c r="C142" t="s">
        <v>10</v>
      </c>
      <c r="D142" t="s">
        <v>63</v>
      </c>
      <c r="E142" t="s">
        <v>37</v>
      </c>
      <c r="F142" s="21">
        <v>7683</v>
      </c>
      <c r="G142" s="21">
        <v>9124</v>
      </c>
      <c r="H142" t="s">
        <v>18</v>
      </c>
      <c r="I142" t="s">
        <v>131</v>
      </c>
      <c r="J142" t="s">
        <v>20</v>
      </c>
    </row>
    <row r="143" spans="1:10" x14ac:dyDescent="0.25">
      <c r="A143" t="s">
        <v>249</v>
      </c>
      <c r="B143" t="str">
        <f t="shared" si="2"/>
        <v>September</v>
      </c>
      <c r="C143" t="s">
        <v>21</v>
      </c>
      <c r="D143" t="s">
        <v>11</v>
      </c>
      <c r="E143" t="s">
        <v>32</v>
      </c>
      <c r="F143" s="21">
        <v>175470</v>
      </c>
      <c r="G143" s="21">
        <v>186901</v>
      </c>
      <c r="H143" t="s">
        <v>35</v>
      </c>
      <c r="I143" t="s">
        <v>187</v>
      </c>
      <c r="J143" t="s">
        <v>15</v>
      </c>
    </row>
    <row r="144" spans="1:10" x14ac:dyDescent="0.25">
      <c r="A144" t="s">
        <v>249</v>
      </c>
      <c r="B144" t="str">
        <f t="shared" si="2"/>
        <v>September</v>
      </c>
      <c r="C144" t="s">
        <v>10</v>
      </c>
      <c r="D144" t="s">
        <v>11</v>
      </c>
      <c r="E144" t="s">
        <v>23</v>
      </c>
      <c r="F144" s="21">
        <v>109961</v>
      </c>
      <c r="G144" s="21">
        <v>115531</v>
      </c>
      <c r="H144" t="s">
        <v>18</v>
      </c>
      <c r="I144" t="s">
        <v>86</v>
      </c>
      <c r="J144" t="s">
        <v>15</v>
      </c>
    </row>
    <row r="145" spans="1:10" x14ac:dyDescent="0.25">
      <c r="A145" t="s">
        <v>249</v>
      </c>
      <c r="B145" t="str">
        <f t="shared" si="2"/>
        <v>September</v>
      </c>
      <c r="C145" t="s">
        <v>10</v>
      </c>
      <c r="D145" t="s">
        <v>11</v>
      </c>
      <c r="E145" t="s">
        <v>12</v>
      </c>
      <c r="F145" s="21">
        <v>139529</v>
      </c>
      <c r="G145" s="21">
        <v>152721</v>
      </c>
      <c r="H145" t="s">
        <v>18</v>
      </c>
      <c r="I145" t="s">
        <v>14</v>
      </c>
      <c r="J145" t="s">
        <v>15</v>
      </c>
    </row>
    <row r="146" spans="1:10" x14ac:dyDescent="0.25">
      <c r="A146" t="s">
        <v>147</v>
      </c>
      <c r="B146" t="str">
        <f t="shared" si="2"/>
        <v>September</v>
      </c>
      <c r="C146" t="s">
        <v>48</v>
      </c>
      <c r="D146" t="s">
        <v>221</v>
      </c>
      <c r="E146" t="s">
        <v>29</v>
      </c>
      <c r="F146" s="21">
        <v>74913</v>
      </c>
      <c r="G146" s="21">
        <v>78870</v>
      </c>
      <c r="H146" t="s">
        <v>18</v>
      </c>
      <c r="I146" t="s">
        <v>154</v>
      </c>
      <c r="J146" t="s">
        <v>15</v>
      </c>
    </row>
    <row r="147" spans="1:10" x14ac:dyDescent="0.25">
      <c r="A147" t="s">
        <v>147</v>
      </c>
      <c r="B147" t="str">
        <f t="shared" si="2"/>
        <v>September</v>
      </c>
      <c r="C147" t="s">
        <v>48</v>
      </c>
      <c r="D147" t="s">
        <v>221</v>
      </c>
      <c r="E147" t="s">
        <v>12</v>
      </c>
      <c r="F147" s="21">
        <v>73158</v>
      </c>
      <c r="G147" s="21">
        <v>79748</v>
      </c>
      <c r="H147" t="s">
        <v>13</v>
      </c>
      <c r="I147" t="s">
        <v>129</v>
      </c>
      <c r="J147" t="s">
        <v>15</v>
      </c>
    </row>
    <row r="148" spans="1:10" x14ac:dyDescent="0.25">
      <c r="A148" t="s">
        <v>250</v>
      </c>
      <c r="B148" t="str">
        <f t="shared" si="2"/>
        <v>October</v>
      </c>
      <c r="C148" t="s">
        <v>10</v>
      </c>
      <c r="D148" t="s">
        <v>28</v>
      </c>
      <c r="E148" t="s">
        <v>32</v>
      </c>
      <c r="F148" s="21">
        <v>58473</v>
      </c>
      <c r="G148" s="21">
        <v>58450</v>
      </c>
      <c r="H148" t="s">
        <v>18</v>
      </c>
      <c r="I148" t="s">
        <v>89</v>
      </c>
      <c r="J148" t="s">
        <v>20</v>
      </c>
    </row>
    <row r="149" spans="1:10" x14ac:dyDescent="0.25">
      <c r="A149" t="s">
        <v>250</v>
      </c>
      <c r="B149" t="str">
        <f t="shared" si="2"/>
        <v>October</v>
      </c>
      <c r="C149" t="s">
        <v>16</v>
      </c>
      <c r="D149" t="s">
        <v>28</v>
      </c>
      <c r="E149" t="s">
        <v>32</v>
      </c>
      <c r="F149" s="21">
        <v>50934</v>
      </c>
      <c r="G149" s="21">
        <v>51210</v>
      </c>
      <c r="H149" t="s">
        <v>18</v>
      </c>
      <c r="I149" t="s">
        <v>41</v>
      </c>
      <c r="J149" t="s">
        <v>20</v>
      </c>
    </row>
    <row r="150" spans="1:10" x14ac:dyDescent="0.25">
      <c r="A150" t="s">
        <v>250</v>
      </c>
      <c r="B150" t="str">
        <f t="shared" si="2"/>
        <v>October</v>
      </c>
      <c r="C150" t="s">
        <v>21</v>
      </c>
      <c r="D150" t="s">
        <v>28</v>
      </c>
      <c r="E150" t="s">
        <v>23</v>
      </c>
      <c r="F150" s="21">
        <v>56588</v>
      </c>
      <c r="G150" s="21">
        <v>55802</v>
      </c>
      <c r="H150" t="s">
        <v>18</v>
      </c>
      <c r="I150" t="s">
        <v>196</v>
      </c>
      <c r="J150" t="s">
        <v>20</v>
      </c>
    </row>
    <row r="151" spans="1:10" x14ac:dyDescent="0.25">
      <c r="A151" t="s">
        <v>250</v>
      </c>
      <c r="B151" t="str">
        <f t="shared" si="2"/>
        <v>October</v>
      </c>
      <c r="C151" t="s">
        <v>40</v>
      </c>
      <c r="D151" t="s">
        <v>28</v>
      </c>
      <c r="E151" t="s">
        <v>29</v>
      </c>
      <c r="F151" s="21">
        <v>57022</v>
      </c>
      <c r="G151" s="21">
        <v>57071</v>
      </c>
      <c r="H151" t="s">
        <v>18</v>
      </c>
      <c r="I151" t="s">
        <v>203</v>
      </c>
      <c r="J151" t="s">
        <v>20</v>
      </c>
    </row>
    <row r="152" spans="1:10" x14ac:dyDescent="0.25">
      <c r="A152" t="s">
        <v>250</v>
      </c>
      <c r="B152" t="str">
        <f t="shared" si="2"/>
        <v>October</v>
      </c>
      <c r="C152" t="s">
        <v>46</v>
      </c>
      <c r="D152" t="s">
        <v>28</v>
      </c>
      <c r="E152" t="s">
        <v>37</v>
      </c>
      <c r="F152" s="21">
        <v>55091</v>
      </c>
      <c r="G152" s="21">
        <v>55770</v>
      </c>
      <c r="H152" t="s">
        <v>18</v>
      </c>
      <c r="I152" t="s">
        <v>251</v>
      </c>
      <c r="J152" t="s">
        <v>20</v>
      </c>
    </row>
    <row r="153" spans="1:10" x14ac:dyDescent="0.25">
      <c r="A153" t="s">
        <v>250</v>
      </c>
      <c r="B153" t="str">
        <f t="shared" si="2"/>
        <v>October</v>
      </c>
      <c r="C153" t="s">
        <v>48</v>
      </c>
      <c r="D153" t="s">
        <v>28</v>
      </c>
      <c r="E153" t="s">
        <v>32</v>
      </c>
      <c r="F153" s="21">
        <v>57691</v>
      </c>
      <c r="G153" s="21">
        <v>57652</v>
      </c>
      <c r="H153" t="s">
        <v>18</v>
      </c>
      <c r="I153" t="s">
        <v>252</v>
      </c>
      <c r="J153" t="s">
        <v>20</v>
      </c>
    </row>
    <row r="154" spans="1:10" x14ac:dyDescent="0.25">
      <c r="A154" t="s">
        <v>158</v>
      </c>
      <c r="B154" t="str">
        <f t="shared" si="2"/>
        <v>October</v>
      </c>
      <c r="C154" t="s">
        <v>10</v>
      </c>
      <c r="D154" t="s">
        <v>31</v>
      </c>
      <c r="E154" t="s">
        <v>29</v>
      </c>
      <c r="F154" s="21">
        <v>25561</v>
      </c>
      <c r="G154" s="21">
        <v>28447</v>
      </c>
      <c r="H154" t="s">
        <v>13</v>
      </c>
      <c r="I154" t="s">
        <v>253</v>
      </c>
      <c r="J154" t="s">
        <v>20</v>
      </c>
    </row>
    <row r="155" spans="1:10" x14ac:dyDescent="0.25">
      <c r="A155" t="s">
        <v>158</v>
      </c>
      <c r="B155" t="str">
        <f t="shared" si="2"/>
        <v>October</v>
      </c>
      <c r="C155" t="s">
        <v>46</v>
      </c>
      <c r="D155" t="s">
        <v>31</v>
      </c>
      <c r="E155" t="s">
        <v>37</v>
      </c>
      <c r="F155" s="21">
        <v>22990</v>
      </c>
      <c r="G155" s="21">
        <v>25004</v>
      </c>
      <c r="H155" t="s">
        <v>13</v>
      </c>
      <c r="I155" t="s">
        <v>254</v>
      </c>
      <c r="J155" t="s">
        <v>20</v>
      </c>
    </row>
    <row r="156" spans="1:10" x14ac:dyDescent="0.25">
      <c r="A156" t="s">
        <v>158</v>
      </c>
      <c r="B156" t="str">
        <f t="shared" si="2"/>
        <v>October</v>
      </c>
      <c r="C156" t="s">
        <v>21</v>
      </c>
      <c r="D156" t="s">
        <v>22</v>
      </c>
      <c r="E156" t="s">
        <v>23</v>
      </c>
      <c r="F156" s="21">
        <v>15940</v>
      </c>
      <c r="G156" s="21">
        <v>16315</v>
      </c>
      <c r="H156" t="s">
        <v>13</v>
      </c>
      <c r="I156" t="s">
        <v>255</v>
      </c>
      <c r="J156" t="s">
        <v>20</v>
      </c>
    </row>
    <row r="157" spans="1:10" x14ac:dyDescent="0.25">
      <c r="A157" t="s">
        <v>158</v>
      </c>
      <c r="B157" t="str">
        <f t="shared" si="2"/>
        <v>October</v>
      </c>
      <c r="C157" t="s">
        <v>21</v>
      </c>
      <c r="D157" t="s">
        <v>22</v>
      </c>
      <c r="E157" t="s">
        <v>29</v>
      </c>
      <c r="F157" s="21">
        <v>21950</v>
      </c>
      <c r="G157" s="21">
        <v>21702</v>
      </c>
      <c r="H157" t="s">
        <v>24</v>
      </c>
      <c r="I157" t="s">
        <v>256</v>
      </c>
      <c r="J157" t="s">
        <v>20</v>
      </c>
    </row>
    <row r="158" spans="1:10" x14ac:dyDescent="0.25">
      <c r="A158" t="s">
        <v>158</v>
      </c>
      <c r="B158" t="str">
        <f t="shared" si="2"/>
        <v>October</v>
      </c>
      <c r="C158" t="s">
        <v>16</v>
      </c>
      <c r="D158" t="s">
        <v>34</v>
      </c>
      <c r="E158" t="s">
        <v>12</v>
      </c>
      <c r="F158" s="21">
        <v>33212</v>
      </c>
      <c r="G158" s="21">
        <v>29975</v>
      </c>
      <c r="H158" t="s">
        <v>35</v>
      </c>
      <c r="I158" t="s">
        <v>257</v>
      </c>
      <c r="J158" t="s">
        <v>20</v>
      </c>
    </row>
    <row r="159" spans="1:10" x14ac:dyDescent="0.25">
      <c r="A159" t="s">
        <v>158</v>
      </c>
      <c r="B159" t="str">
        <f t="shared" si="2"/>
        <v>October</v>
      </c>
      <c r="C159" t="s">
        <v>46</v>
      </c>
      <c r="D159" t="s">
        <v>34</v>
      </c>
      <c r="E159" t="s">
        <v>23</v>
      </c>
      <c r="F159" s="21">
        <v>38595</v>
      </c>
      <c r="G159" s="21">
        <v>38657</v>
      </c>
      <c r="H159" t="s">
        <v>13</v>
      </c>
      <c r="I159" t="s">
        <v>258</v>
      </c>
      <c r="J159" t="s">
        <v>20</v>
      </c>
    </row>
    <row r="160" spans="1:10" x14ac:dyDescent="0.25">
      <c r="A160" t="s">
        <v>163</v>
      </c>
      <c r="B160" t="str">
        <f t="shared" si="2"/>
        <v>October</v>
      </c>
      <c r="C160" t="s">
        <v>10</v>
      </c>
      <c r="D160" t="s">
        <v>17</v>
      </c>
      <c r="E160" t="s">
        <v>12</v>
      </c>
      <c r="F160" s="21">
        <v>13041</v>
      </c>
      <c r="G160" s="21">
        <v>13130</v>
      </c>
      <c r="H160" t="s">
        <v>24</v>
      </c>
      <c r="I160" t="s">
        <v>259</v>
      </c>
      <c r="J160" t="s">
        <v>20</v>
      </c>
    </row>
    <row r="161" spans="1:10" x14ac:dyDescent="0.25">
      <c r="A161" t="s">
        <v>260</v>
      </c>
      <c r="B161" t="str">
        <f t="shared" si="2"/>
        <v>October</v>
      </c>
      <c r="C161" t="s">
        <v>10</v>
      </c>
      <c r="D161" t="s">
        <v>11</v>
      </c>
      <c r="E161" t="s">
        <v>29</v>
      </c>
      <c r="F161" s="21">
        <v>131890</v>
      </c>
      <c r="G161" s="21">
        <v>132161</v>
      </c>
      <c r="H161" t="s">
        <v>13</v>
      </c>
      <c r="I161" t="s">
        <v>261</v>
      </c>
      <c r="J161" t="s">
        <v>15</v>
      </c>
    </row>
    <row r="162" spans="1:10" x14ac:dyDescent="0.25">
      <c r="A162" t="s">
        <v>260</v>
      </c>
      <c r="B162" t="str">
        <f t="shared" si="2"/>
        <v>October</v>
      </c>
      <c r="C162" t="s">
        <v>21</v>
      </c>
      <c r="D162" t="s">
        <v>11</v>
      </c>
      <c r="E162" t="s">
        <v>37</v>
      </c>
      <c r="F162" s="21">
        <v>172544</v>
      </c>
      <c r="G162" s="21">
        <v>179490</v>
      </c>
      <c r="H162" t="s">
        <v>24</v>
      </c>
      <c r="I162" t="s">
        <v>262</v>
      </c>
      <c r="J162" t="s">
        <v>15</v>
      </c>
    </row>
    <row r="163" spans="1:10" x14ac:dyDescent="0.25">
      <c r="A163" t="s">
        <v>260</v>
      </c>
      <c r="B163" t="str">
        <f t="shared" si="2"/>
        <v>October</v>
      </c>
      <c r="C163" t="s">
        <v>21</v>
      </c>
      <c r="D163" t="s">
        <v>11</v>
      </c>
      <c r="E163" t="s">
        <v>29</v>
      </c>
      <c r="F163" s="21">
        <v>146112</v>
      </c>
      <c r="G163" s="21">
        <v>156264</v>
      </c>
      <c r="H163" t="s">
        <v>24</v>
      </c>
      <c r="I163" t="s">
        <v>263</v>
      </c>
      <c r="J163" t="s">
        <v>15</v>
      </c>
    </row>
    <row r="164" spans="1:10" x14ac:dyDescent="0.25">
      <c r="A164" t="s">
        <v>260</v>
      </c>
      <c r="B164" t="str">
        <f t="shared" si="2"/>
        <v>October</v>
      </c>
      <c r="C164" t="s">
        <v>48</v>
      </c>
      <c r="D164" t="s">
        <v>11</v>
      </c>
      <c r="E164" t="s">
        <v>29</v>
      </c>
      <c r="F164" s="21">
        <v>130217</v>
      </c>
      <c r="G164" s="21">
        <v>126377</v>
      </c>
      <c r="H164" t="s">
        <v>18</v>
      </c>
      <c r="I164" t="s">
        <v>264</v>
      </c>
      <c r="J164" t="s">
        <v>15</v>
      </c>
    </row>
    <row r="165" spans="1:10" x14ac:dyDescent="0.25">
      <c r="A165" t="s">
        <v>265</v>
      </c>
      <c r="B165" t="str">
        <f t="shared" si="2"/>
        <v>October</v>
      </c>
      <c r="C165" t="s">
        <v>48</v>
      </c>
      <c r="D165" t="s">
        <v>221</v>
      </c>
      <c r="E165" t="s">
        <v>32</v>
      </c>
      <c r="F165" s="21">
        <v>52552</v>
      </c>
      <c r="G165" s="21">
        <v>53434</v>
      </c>
      <c r="H165" t="s">
        <v>24</v>
      </c>
      <c r="I165" t="s">
        <v>266</v>
      </c>
      <c r="J165" t="s">
        <v>15</v>
      </c>
    </row>
    <row r="166" spans="1:10" x14ac:dyDescent="0.25">
      <c r="A166" t="s">
        <v>267</v>
      </c>
      <c r="B166" t="str">
        <f t="shared" si="2"/>
        <v>November</v>
      </c>
      <c r="C166" t="s">
        <v>10</v>
      </c>
      <c r="D166" t="s">
        <v>28</v>
      </c>
      <c r="E166" t="s">
        <v>37</v>
      </c>
      <c r="F166" s="21">
        <v>56871</v>
      </c>
      <c r="G166" s="21">
        <v>57074</v>
      </c>
      <c r="H166" t="s">
        <v>18</v>
      </c>
      <c r="I166" t="s">
        <v>268</v>
      </c>
      <c r="J166" t="s">
        <v>20</v>
      </c>
    </row>
    <row r="167" spans="1:10" x14ac:dyDescent="0.25">
      <c r="A167" t="s">
        <v>267</v>
      </c>
      <c r="B167" t="str">
        <f t="shared" si="2"/>
        <v>November</v>
      </c>
      <c r="C167" t="s">
        <v>16</v>
      </c>
      <c r="D167" t="s">
        <v>28</v>
      </c>
      <c r="E167" t="s">
        <v>12</v>
      </c>
      <c r="F167" s="21">
        <v>54777</v>
      </c>
      <c r="G167" s="21">
        <v>54301</v>
      </c>
      <c r="H167" t="s">
        <v>18</v>
      </c>
      <c r="I167" t="s">
        <v>269</v>
      </c>
      <c r="J167" t="s">
        <v>20</v>
      </c>
    </row>
    <row r="168" spans="1:10" x14ac:dyDescent="0.25">
      <c r="A168" t="s">
        <v>267</v>
      </c>
      <c r="B168" t="str">
        <f t="shared" si="2"/>
        <v>November</v>
      </c>
      <c r="C168" t="s">
        <v>21</v>
      </c>
      <c r="D168" t="s">
        <v>28</v>
      </c>
      <c r="E168" t="s">
        <v>23</v>
      </c>
      <c r="F168" s="21">
        <v>58641</v>
      </c>
      <c r="G168" s="21">
        <v>57923</v>
      </c>
      <c r="H168" t="s">
        <v>18</v>
      </c>
      <c r="I168" t="s">
        <v>270</v>
      </c>
      <c r="J168" t="s">
        <v>20</v>
      </c>
    </row>
    <row r="169" spans="1:10" x14ac:dyDescent="0.25">
      <c r="A169" t="s">
        <v>267</v>
      </c>
      <c r="B169" t="str">
        <f t="shared" si="2"/>
        <v>November</v>
      </c>
      <c r="C169" t="s">
        <v>40</v>
      </c>
      <c r="D169" t="s">
        <v>28</v>
      </c>
      <c r="E169" t="s">
        <v>12</v>
      </c>
      <c r="F169" s="21">
        <v>50912</v>
      </c>
      <c r="G169" s="21">
        <v>50259</v>
      </c>
      <c r="H169" t="s">
        <v>18</v>
      </c>
      <c r="I169" t="s">
        <v>271</v>
      </c>
      <c r="J169" t="s">
        <v>20</v>
      </c>
    </row>
    <row r="170" spans="1:10" x14ac:dyDescent="0.25">
      <c r="A170" t="s">
        <v>267</v>
      </c>
      <c r="B170" t="str">
        <f t="shared" si="2"/>
        <v>November</v>
      </c>
      <c r="C170" t="s">
        <v>46</v>
      </c>
      <c r="D170" t="s">
        <v>28</v>
      </c>
      <c r="E170" t="s">
        <v>29</v>
      </c>
      <c r="F170" s="21">
        <v>56600</v>
      </c>
      <c r="G170" s="21">
        <v>56677</v>
      </c>
      <c r="H170" t="s">
        <v>18</v>
      </c>
      <c r="I170" t="s">
        <v>272</v>
      </c>
      <c r="J170" t="s">
        <v>20</v>
      </c>
    </row>
    <row r="171" spans="1:10" x14ac:dyDescent="0.25">
      <c r="A171" t="s">
        <v>267</v>
      </c>
      <c r="B171" t="str">
        <f t="shared" si="2"/>
        <v>November</v>
      </c>
      <c r="C171" t="s">
        <v>48</v>
      </c>
      <c r="D171" t="s">
        <v>28</v>
      </c>
      <c r="E171" t="s">
        <v>37</v>
      </c>
      <c r="F171" s="21">
        <v>45745</v>
      </c>
      <c r="G171" s="21">
        <v>46612</v>
      </c>
      <c r="H171" t="s">
        <v>18</v>
      </c>
      <c r="I171" t="s">
        <v>273</v>
      </c>
      <c r="J171" t="s">
        <v>20</v>
      </c>
    </row>
    <row r="172" spans="1:10" x14ac:dyDescent="0.25">
      <c r="A172" t="s">
        <v>274</v>
      </c>
      <c r="B172" t="str">
        <f t="shared" si="2"/>
        <v>November</v>
      </c>
      <c r="C172" t="s">
        <v>48</v>
      </c>
      <c r="D172" t="s">
        <v>31</v>
      </c>
      <c r="E172" t="s">
        <v>32</v>
      </c>
      <c r="F172" s="21">
        <v>37852</v>
      </c>
      <c r="G172" s="21">
        <v>43000</v>
      </c>
      <c r="H172" t="s">
        <v>18</v>
      </c>
      <c r="I172" t="s">
        <v>275</v>
      </c>
      <c r="J172" t="s">
        <v>20</v>
      </c>
    </row>
    <row r="173" spans="1:10" x14ac:dyDescent="0.25">
      <c r="A173" t="s">
        <v>274</v>
      </c>
      <c r="B173" t="str">
        <f t="shared" si="2"/>
        <v>November</v>
      </c>
      <c r="C173" t="s">
        <v>21</v>
      </c>
      <c r="D173" t="s">
        <v>31</v>
      </c>
      <c r="E173" t="s">
        <v>32</v>
      </c>
      <c r="F173" s="21">
        <v>43597</v>
      </c>
      <c r="G173" s="21">
        <v>39370</v>
      </c>
      <c r="H173" t="s">
        <v>13</v>
      </c>
      <c r="I173" t="s">
        <v>276</v>
      </c>
      <c r="J173" t="s">
        <v>20</v>
      </c>
    </row>
    <row r="174" spans="1:10" x14ac:dyDescent="0.25">
      <c r="A174" t="s">
        <v>274</v>
      </c>
      <c r="B174" t="str">
        <f t="shared" si="2"/>
        <v>November</v>
      </c>
      <c r="C174" t="s">
        <v>10</v>
      </c>
      <c r="D174" t="s">
        <v>22</v>
      </c>
      <c r="E174" t="s">
        <v>29</v>
      </c>
      <c r="F174" s="21">
        <v>26164</v>
      </c>
      <c r="G174" s="21">
        <v>24753</v>
      </c>
      <c r="H174" t="s">
        <v>13</v>
      </c>
      <c r="I174" t="s">
        <v>277</v>
      </c>
      <c r="J174" t="s">
        <v>20</v>
      </c>
    </row>
    <row r="175" spans="1:10" x14ac:dyDescent="0.25">
      <c r="A175" t="s">
        <v>274</v>
      </c>
      <c r="B175" t="str">
        <f t="shared" si="2"/>
        <v>November</v>
      </c>
      <c r="C175" t="s">
        <v>40</v>
      </c>
      <c r="D175" t="s">
        <v>22</v>
      </c>
      <c r="E175" t="s">
        <v>32</v>
      </c>
      <c r="F175" s="21">
        <v>18738</v>
      </c>
      <c r="G175" s="21">
        <v>20715</v>
      </c>
      <c r="H175" t="s">
        <v>18</v>
      </c>
      <c r="I175" t="s">
        <v>278</v>
      </c>
      <c r="J175" t="s">
        <v>20</v>
      </c>
    </row>
    <row r="176" spans="1:10" x14ac:dyDescent="0.25">
      <c r="A176" t="s">
        <v>274</v>
      </c>
      <c r="B176" t="str">
        <f t="shared" si="2"/>
        <v>November</v>
      </c>
      <c r="C176" t="s">
        <v>46</v>
      </c>
      <c r="D176" t="s">
        <v>34</v>
      </c>
      <c r="E176" t="s">
        <v>29</v>
      </c>
      <c r="F176" s="21">
        <v>19971</v>
      </c>
      <c r="G176" s="21">
        <v>18718</v>
      </c>
      <c r="H176" t="s">
        <v>18</v>
      </c>
      <c r="I176" t="s">
        <v>279</v>
      </c>
      <c r="J176" t="s">
        <v>20</v>
      </c>
    </row>
    <row r="177" spans="1:10" x14ac:dyDescent="0.25">
      <c r="A177" t="s">
        <v>178</v>
      </c>
      <c r="B177" t="str">
        <f t="shared" si="2"/>
        <v>November</v>
      </c>
      <c r="C177" t="s">
        <v>40</v>
      </c>
      <c r="D177" t="s">
        <v>17</v>
      </c>
      <c r="E177" t="s">
        <v>37</v>
      </c>
      <c r="F177" s="21">
        <v>6940</v>
      </c>
      <c r="G177" s="21">
        <v>7254</v>
      </c>
      <c r="H177" t="s">
        <v>35</v>
      </c>
      <c r="I177" t="s">
        <v>280</v>
      </c>
      <c r="J177" t="s">
        <v>20</v>
      </c>
    </row>
    <row r="178" spans="1:10" x14ac:dyDescent="0.25">
      <c r="A178" t="s">
        <v>178</v>
      </c>
      <c r="B178" t="str">
        <f t="shared" si="2"/>
        <v>November</v>
      </c>
      <c r="C178" t="s">
        <v>40</v>
      </c>
      <c r="D178" t="s">
        <v>63</v>
      </c>
      <c r="E178" t="s">
        <v>29</v>
      </c>
      <c r="F178" s="21">
        <v>11232</v>
      </c>
      <c r="G178" s="21">
        <v>11318</v>
      </c>
      <c r="H178" t="s">
        <v>13</v>
      </c>
      <c r="I178" t="s">
        <v>281</v>
      </c>
      <c r="J178" t="s">
        <v>20</v>
      </c>
    </row>
    <row r="179" spans="1:10" x14ac:dyDescent="0.25">
      <c r="A179" t="s">
        <v>174</v>
      </c>
      <c r="B179" t="str">
        <f t="shared" si="2"/>
        <v>November</v>
      </c>
      <c r="C179" t="s">
        <v>10</v>
      </c>
      <c r="D179" t="s">
        <v>11</v>
      </c>
      <c r="E179" t="s">
        <v>12</v>
      </c>
      <c r="F179" s="21">
        <v>174531</v>
      </c>
      <c r="G179" s="21">
        <v>184230</v>
      </c>
      <c r="H179" t="s">
        <v>35</v>
      </c>
      <c r="I179" t="s">
        <v>282</v>
      </c>
      <c r="J179" t="s">
        <v>15</v>
      </c>
    </row>
    <row r="180" spans="1:10" x14ac:dyDescent="0.25">
      <c r="A180" t="s">
        <v>174</v>
      </c>
      <c r="B180" t="str">
        <f t="shared" si="2"/>
        <v>November</v>
      </c>
      <c r="C180" t="s">
        <v>48</v>
      </c>
      <c r="D180" t="s">
        <v>11</v>
      </c>
      <c r="E180" t="s">
        <v>23</v>
      </c>
      <c r="F180" s="21">
        <v>127659</v>
      </c>
      <c r="G180" s="21">
        <v>127019</v>
      </c>
      <c r="H180" t="s">
        <v>35</v>
      </c>
      <c r="I180" t="s">
        <v>283</v>
      </c>
      <c r="J180" t="s">
        <v>15</v>
      </c>
    </row>
    <row r="181" spans="1:10" x14ac:dyDescent="0.25">
      <c r="A181" t="s">
        <v>174</v>
      </c>
      <c r="B181" t="str">
        <f t="shared" si="2"/>
        <v>November</v>
      </c>
      <c r="C181" t="s">
        <v>48</v>
      </c>
      <c r="D181" t="s">
        <v>11</v>
      </c>
      <c r="E181" t="s">
        <v>12</v>
      </c>
      <c r="F181" s="21">
        <v>122782</v>
      </c>
      <c r="G181" s="21">
        <v>128164</v>
      </c>
      <c r="H181" t="s">
        <v>13</v>
      </c>
      <c r="I181" t="s">
        <v>284</v>
      </c>
      <c r="J181" t="s">
        <v>15</v>
      </c>
    </row>
    <row r="182" spans="1:10" x14ac:dyDescent="0.25">
      <c r="A182" t="s">
        <v>285</v>
      </c>
      <c r="B182" t="str">
        <f t="shared" si="2"/>
        <v>November</v>
      </c>
      <c r="C182" t="s">
        <v>48</v>
      </c>
      <c r="D182" t="s">
        <v>221</v>
      </c>
      <c r="E182" t="s">
        <v>12</v>
      </c>
      <c r="F182" s="21">
        <v>78916</v>
      </c>
      <c r="G182" s="21">
        <v>83641</v>
      </c>
      <c r="H182" t="s">
        <v>35</v>
      </c>
      <c r="I182" t="s">
        <v>286</v>
      </c>
      <c r="J182" t="s">
        <v>15</v>
      </c>
    </row>
    <row r="183" spans="1:10" x14ac:dyDescent="0.25">
      <c r="A183" t="s">
        <v>285</v>
      </c>
      <c r="B183" t="str">
        <f t="shared" si="2"/>
        <v>November</v>
      </c>
      <c r="C183" t="s">
        <v>48</v>
      </c>
      <c r="D183" t="s">
        <v>221</v>
      </c>
      <c r="E183" t="s">
        <v>32</v>
      </c>
      <c r="F183" s="21">
        <v>58881</v>
      </c>
      <c r="G183" s="21">
        <v>64779</v>
      </c>
      <c r="H183" t="s">
        <v>18</v>
      </c>
      <c r="I183" t="s">
        <v>287</v>
      </c>
      <c r="J183" t="s">
        <v>15</v>
      </c>
    </row>
    <row r="184" spans="1:10" x14ac:dyDescent="0.25">
      <c r="A184" t="s">
        <v>288</v>
      </c>
      <c r="B184" t="str">
        <f t="shared" si="2"/>
        <v>December</v>
      </c>
      <c r="C184" t="s">
        <v>10</v>
      </c>
      <c r="D184" t="s">
        <v>28</v>
      </c>
      <c r="E184" t="s">
        <v>29</v>
      </c>
      <c r="F184" s="21">
        <v>56262</v>
      </c>
      <c r="G184" s="21">
        <v>55662</v>
      </c>
      <c r="H184" t="s">
        <v>18</v>
      </c>
      <c r="I184" t="s">
        <v>289</v>
      </c>
      <c r="J184" t="s">
        <v>20</v>
      </c>
    </row>
    <row r="185" spans="1:10" x14ac:dyDescent="0.25">
      <c r="A185" t="s">
        <v>288</v>
      </c>
      <c r="B185" t="str">
        <f t="shared" si="2"/>
        <v>December</v>
      </c>
      <c r="C185" t="s">
        <v>16</v>
      </c>
      <c r="D185" t="s">
        <v>28</v>
      </c>
      <c r="E185" t="s">
        <v>37</v>
      </c>
      <c r="F185" s="21">
        <v>57907</v>
      </c>
      <c r="G185" s="21">
        <v>58581</v>
      </c>
      <c r="H185" t="s">
        <v>18</v>
      </c>
      <c r="I185" t="s">
        <v>290</v>
      </c>
      <c r="J185" t="s">
        <v>20</v>
      </c>
    </row>
    <row r="186" spans="1:10" x14ac:dyDescent="0.25">
      <c r="A186" t="s">
        <v>288</v>
      </c>
      <c r="B186" t="str">
        <f t="shared" si="2"/>
        <v>December</v>
      </c>
      <c r="C186" t="s">
        <v>21</v>
      </c>
      <c r="D186" t="s">
        <v>28</v>
      </c>
      <c r="E186" t="s">
        <v>23</v>
      </c>
      <c r="F186" s="21">
        <v>55832</v>
      </c>
      <c r="G186" s="21">
        <v>56510</v>
      </c>
      <c r="H186" t="s">
        <v>18</v>
      </c>
      <c r="I186" t="s">
        <v>291</v>
      </c>
      <c r="J186" t="s">
        <v>20</v>
      </c>
    </row>
    <row r="187" spans="1:10" x14ac:dyDescent="0.25">
      <c r="A187" t="s">
        <v>288</v>
      </c>
      <c r="B187" t="str">
        <f t="shared" si="2"/>
        <v>December</v>
      </c>
      <c r="C187" t="s">
        <v>40</v>
      </c>
      <c r="D187" t="s">
        <v>28</v>
      </c>
      <c r="E187" t="s">
        <v>23</v>
      </c>
      <c r="F187" s="21">
        <v>51965</v>
      </c>
      <c r="G187" s="21">
        <v>51164</v>
      </c>
      <c r="H187" t="s">
        <v>18</v>
      </c>
      <c r="I187" t="s">
        <v>292</v>
      </c>
      <c r="J187" t="s">
        <v>20</v>
      </c>
    </row>
    <row r="188" spans="1:10" x14ac:dyDescent="0.25">
      <c r="A188" t="s">
        <v>288</v>
      </c>
      <c r="B188" t="str">
        <f t="shared" si="2"/>
        <v>December</v>
      </c>
      <c r="C188" t="s">
        <v>46</v>
      </c>
      <c r="D188" t="s">
        <v>28</v>
      </c>
      <c r="E188" t="s">
        <v>29</v>
      </c>
      <c r="F188" s="21">
        <v>55610</v>
      </c>
      <c r="G188" s="21">
        <v>54829</v>
      </c>
      <c r="H188" t="s">
        <v>18</v>
      </c>
      <c r="I188" t="s">
        <v>293</v>
      </c>
      <c r="J188" t="s">
        <v>20</v>
      </c>
    </row>
    <row r="189" spans="1:10" x14ac:dyDescent="0.25">
      <c r="A189" t="s">
        <v>288</v>
      </c>
      <c r="B189" t="str">
        <f t="shared" si="2"/>
        <v>December</v>
      </c>
      <c r="C189" t="s">
        <v>48</v>
      </c>
      <c r="D189" t="s">
        <v>28</v>
      </c>
      <c r="E189" t="s">
        <v>12</v>
      </c>
      <c r="F189" s="21">
        <v>58543</v>
      </c>
      <c r="G189" s="21">
        <v>57705</v>
      </c>
      <c r="H189" t="s">
        <v>18</v>
      </c>
      <c r="I189" t="s">
        <v>294</v>
      </c>
      <c r="J189" t="s">
        <v>20</v>
      </c>
    </row>
    <row r="190" spans="1:10" x14ac:dyDescent="0.25">
      <c r="A190" t="s">
        <v>193</v>
      </c>
      <c r="B190" t="str">
        <f t="shared" si="2"/>
        <v>December</v>
      </c>
      <c r="C190" t="s">
        <v>48</v>
      </c>
      <c r="D190" t="s">
        <v>31</v>
      </c>
      <c r="E190" t="s">
        <v>37</v>
      </c>
      <c r="F190" s="21">
        <v>40972</v>
      </c>
      <c r="G190" s="21">
        <v>40025</v>
      </c>
      <c r="H190" t="s">
        <v>24</v>
      </c>
      <c r="I190" t="s">
        <v>295</v>
      </c>
      <c r="J190" t="s">
        <v>20</v>
      </c>
    </row>
    <row r="191" spans="1:10" x14ac:dyDescent="0.25">
      <c r="A191" t="s">
        <v>193</v>
      </c>
      <c r="B191" t="str">
        <f t="shared" si="2"/>
        <v>December</v>
      </c>
      <c r="C191" t="s">
        <v>21</v>
      </c>
      <c r="D191" t="s">
        <v>22</v>
      </c>
      <c r="E191" t="s">
        <v>32</v>
      </c>
      <c r="F191" s="21">
        <v>19074</v>
      </c>
      <c r="G191" s="21">
        <v>19401</v>
      </c>
      <c r="H191" t="s">
        <v>24</v>
      </c>
      <c r="I191" t="s">
        <v>296</v>
      </c>
      <c r="J191" t="s">
        <v>20</v>
      </c>
    </row>
    <row r="192" spans="1:10" x14ac:dyDescent="0.25">
      <c r="A192" t="s">
        <v>193</v>
      </c>
      <c r="B192" t="str">
        <f t="shared" si="2"/>
        <v>December</v>
      </c>
      <c r="C192" t="s">
        <v>40</v>
      </c>
      <c r="D192" t="s">
        <v>22</v>
      </c>
      <c r="E192" t="s">
        <v>12</v>
      </c>
      <c r="F192" s="21">
        <v>31399</v>
      </c>
      <c r="G192" s="21">
        <v>32497</v>
      </c>
      <c r="H192" t="s">
        <v>18</v>
      </c>
      <c r="I192" t="s">
        <v>297</v>
      </c>
      <c r="J192" t="s">
        <v>20</v>
      </c>
    </row>
    <row r="193" spans="1:10" x14ac:dyDescent="0.25">
      <c r="A193" t="s">
        <v>193</v>
      </c>
      <c r="B193" t="str">
        <f t="shared" si="2"/>
        <v>December</v>
      </c>
      <c r="C193" t="s">
        <v>21</v>
      </c>
      <c r="D193" t="s">
        <v>34</v>
      </c>
      <c r="E193" t="s">
        <v>12</v>
      </c>
      <c r="F193" s="21">
        <v>39069</v>
      </c>
      <c r="G193" s="21">
        <v>38310</v>
      </c>
      <c r="H193" t="s">
        <v>18</v>
      </c>
      <c r="I193" t="s">
        <v>298</v>
      </c>
      <c r="J193" t="s">
        <v>20</v>
      </c>
    </row>
    <row r="194" spans="1:10" x14ac:dyDescent="0.25">
      <c r="A194" t="s">
        <v>193</v>
      </c>
      <c r="B194" t="str">
        <f t="shared" si="2"/>
        <v>December</v>
      </c>
      <c r="C194" t="s">
        <v>46</v>
      </c>
      <c r="D194" t="s">
        <v>34</v>
      </c>
      <c r="E194" t="s">
        <v>37</v>
      </c>
      <c r="F194" s="21">
        <v>22501</v>
      </c>
      <c r="G194" s="21">
        <v>25661</v>
      </c>
      <c r="H194" t="s">
        <v>18</v>
      </c>
      <c r="I194" t="s">
        <v>299</v>
      </c>
      <c r="J194" t="s">
        <v>20</v>
      </c>
    </row>
    <row r="195" spans="1:10" x14ac:dyDescent="0.25">
      <c r="A195" t="s">
        <v>300</v>
      </c>
      <c r="B195" t="str">
        <f t="shared" ref="B195:B202" si="3">TEXT(A195,"mmmm")</f>
        <v>December</v>
      </c>
      <c r="C195" t="s">
        <v>46</v>
      </c>
      <c r="D195" t="s">
        <v>17</v>
      </c>
      <c r="E195" t="s">
        <v>12</v>
      </c>
      <c r="F195" s="21">
        <v>16014</v>
      </c>
      <c r="G195" s="21">
        <v>18215</v>
      </c>
      <c r="H195" t="s">
        <v>35</v>
      </c>
      <c r="I195" t="s">
        <v>301</v>
      </c>
      <c r="J195" t="s">
        <v>20</v>
      </c>
    </row>
    <row r="196" spans="1:10" x14ac:dyDescent="0.25">
      <c r="A196" t="s">
        <v>300</v>
      </c>
      <c r="B196" t="str">
        <f t="shared" si="3"/>
        <v>December</v>
      </c>
      <c r="C196" t="s">
        <v>21</v>
      </c>
      <c r="D196" t="s">
        <v>63</v>
      </c>
      <c r="E196" t="s">
        <v>23</v>
      </c>
      <c r="F196" s="21">
        <v>15674</v>
      </c>
      <c r="G196" s="21">
        <v>15748</v>
      </c>
      <c r="H196" t="s">
        <v>13</v>
      </c>
      <c r="I196" t="s">
        <v>302</v>
      </c>
      <c r="J196" t="s">
        <v>20</v>
      </c>
    </row>
    <row r="197" spans="1:10" x14ac:dyDescent="0.25">
      <c r="A197" t="s">
        <v>303</v>
      </c>
      <c r="B197" t="str">
        <f t="shared" si="3"/>
        <v>December</v>
      </c>
      <c r="C197" t="s">
        <v>21</v>
      </c>
      <c r="D197" t="s">
        <v>11</v>
      </c>
      <c r="E197" t="s">
        <v>29</v>
      </c>
      <c r="F197" s="21">
        <v>164451</v>
      </c>
      <c r="G197" s="21">
        <v>183320</v>
      </c>
      <c r="H197" t="s">
        <v>13</v>
      </c>
      <c r="I197" t="s">
        <v>304</v>
      </c>
      <c r="J197" t="s">
        <v>15</v>
      </c>
    </row>
    <row r="198" spans="1:10" x14ac:dyDescent="0.25">
      <c r="A198" t="s">
        <v>303</v>
      </c>
      <c r="B198" t="str">
        <f t="shared" si="3"/>
        <v>December</v>
      </c>
      <c r="C198" t="s">
        <v>48</v>
      </c>
      <c r="D198" t="s">
        <v>11</v>
      </c>
      <c r="E198" t="s">
        <v>23</v>
      </c>
      <c r="F198" s="21">
        <v>143687</v>
      </c>
      <c r="G198" s="21">
        <v>144345</v>
      </c>
      <c r="H198" t="s">
        <v>24</v>
      </c>
      <c r="I198" t="s">
        <v>305</v>
      </c>
      <c r="J198" t="s">
        <v>15</v>
      </c>
    </row>
    <row r="199" spans="1:10" x14ac:dyDescent="0.25">
      <c r="A199" t="s">
        <v>303</v>
      </c>
      <c r="B199" t="str">
        <f t="shared" si="3"/>
        <v>December</v>
      </c>
      <c r="C199" t="s">
        <v>21</v>
      </c>
      <c r="D199" t="s">
        <v>11</v>
      </c>
      <c r="E199" t="s">
        <v>32</v>
      </c>
      <c r="F199" s="21">
        <v>153955</v>
      </c>
      <c r="G199" s="21">
        <v>164412</v>
      </c>
      <c r="H199" t="s">
        <v>18</v>
      </c>
      <c r="I199" t="s">
        <v>306</v>
      </c>
      <c r="J199" t="s">
        <v>15</v>
      </c>
    </row>
    <row r="200" spans="1:10" x14ac:dyDescent="0.25">
      <c r="A200" t="s">
        <v>303</v>
      </c>
      <c r="B200" t="str">
        <f t="shared" si="3"/>
        <v>December</v>
      </c>
      <c r="C200" t="s">
        <v>21</v>
      </c>
      <c r="D200" t="s">
        <v>11</v>
      </c>
      <c r="E200" t="s">
        <v>29</v>
      </c>
      <c r="F200" s="21">
        <v>159614</v>
      </c>
      <c r="G200" s="21">
        <v>154022</v>
      </c>
      <c r="H200" t="s">
        <v>18</v>
      </c>
      <c r="I200" t="s">
        <v>307</v>
      </c>
      <c r="J200" t="s">
        <v>15</v>
      </c>
    </row>
    <row r="201" spans="1:10" x14ac:dyDescent="0.25">
      <c r="A201" t="s">
        <v>308</v>
      </c>
      <c r="B201" t="str">
        <f t="shared" si="3"/>
        <v>December</v>
      </c>
      <c r="C201" t="s">
        <v>48</v>
      </c>
      <c r="D201" t="s">
        <v>221</v>
      </c>
      <c r="E201" t="s">
        <v>12</v>
      </c>
      <c r="F201" s="21">
        <v>73724</v>
      </c>
      <c r="G201" s="21">
        <v>82588</v>
      </c>
      <c r="H201" t="s">
        <v>13</v>
      </c>
      <c r="I201" t="s">
        <v>309</v>
      </c>
      <c r="J201" t="s">
        <v>15</v>
      </c>
    </row>
    <row r="202" spans="1:10" x14ac:dyDescent="0.25">
      <c r="A202" t="s">
        <v>308</v>
      </c>
      <c r="B202" t="str">
        <f t="shared" si="3"/>
        <v>December</v>
      </c>
      <c r="C202" t="s">
        <v>48</v>
      </c>
      <c r="D202" t="s">
        <v>221</v>
      </c>
      <c r="E202" t="s">
        <v>37</v>
      </c>
      <c r="F202" s="21">
        <v>67082</v>
      </c>
      <c r="G202" s="21">
        <v>66358</v>
      </c>
      <c r="H202" t="s">
        <v>24</v>
      </c>
      <c r="I202" t="s">
        <v>310</v>
      </c>
      <c r="J202"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Dashboard with slicers</vt:lpstr>
      <vt:lpstr>Dashboard</vt:lpstr>
      <vt:lpstr>Pivot Tables</vt:lpstr>
      <vt:lpstr>Clean Ledger Data</vt:lpstr>
      <vt:lpstr>expense</vt:lpstr>
      <vt:lpstr>month</vt:lpstr>
      <vt:lpstr>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dchew99@student.ubc.ca</cp:lastModifiedBy>
  <dcterms:created xsi:type="dcterms:W3CDTF">2026-09-07T09:27:34Z</dcterms:created>
  <dcterms:modified xsi:type="dcterms:W3CDTF">2026-09-08T06:29:46Z</dcterms:modified>
</cp:coreProperties>
</file>